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" sheetId="1" r:id="rId5"/>
    <sheet state="visible" name="RFR" sheetId="2" r:id="rId6"/>
    <sheet state="visible" name="ICICI" sheetId="3" r:id="rId7"/>
    <sheet state="visible" name="IDFC" sheetId="4" r:id="rId8"/>
    <sheet state="visible" name="Quant" sheetId="5" r:id="rId9"/>
    <sheet state="visible" name="PGIM" sheetId="6" r:id="rId10"/>
    <sheet state="visible" name="UTI" sheetId="7" r:id="rId11"/>
  </sheets>
  <definedNames/>
  <calcPr/>
</workbook>
</file>

<file path=xl/sharedStrings.xml><?xml version="1.0" encoding="utf-8"?>
<sst xmlns="http://schemas.openxmlformats.org/spreadsheetml/2006/main" count="125" uniqueCount="65">
  <si>
    <t>Date</t>
  </si>
  <si>
    <t>Open</t>
  </si>
  <si>
    <t>High</t>
  </si>
  <si>
    <t>IDFC Nifty Fund-Direct Plan-Growth</t>
  </si>
  <si>
    <t>Low</t>
  </si>
  <si>
    <t>Close</t>
  </si>
  <si>
    <t>Shares Traded</t>
  </si>
  <si>
    <t>Price</t>
  </si>
  <si>
    <t>Turnover (Rs. Cr)</t>
  </si>
  <si>
    <t>ICICI Prudential Money Market Fund Option - Direct Plan -Monthly Dividend</t>
  </si>
  <si>
    <t>INF109K01R63</t>
  </si>
  <si>
    <t>INF109K01R71</t>
  </si>
  <si>
    <t>Change</t>
  </si>
  <si>
    <t>IDFC NAV</t>
  </si>
  <si>
    <t>Fund Return</t>
  </si>
  <si>
    <t>ICICI NAV</t>
  </si>
  <si>
    <t>Market Value</t>
  </si>
  <si>
    <t>Market Return</t>
  </si>
  <si>
    <t>Risk free % (Yearly)</t>
  </si>
  <si>
    <t>Risk Free Value (Yearly)</t>
  </si>
  <si>
    <t>ICICI return</t>
  </si>
  <si>
    <t>Risk free value (Daily)</t>
  </si>
  <si>
    <t>Risk Free Return (Daily)</t>
  </si>
  <si>
    <t>Market value</t>
  </si>
  <si>
    <t>Excess fund return</t>
  </si>
  <si>
    <t>Excess market return</t>
  </si>
  <si>
    <t>Excess Fund return</t>
  </si>
  <si>
    <t>Quant Consumption Fund - Growth Option-Direct Plan</t>
  </si>
  <si>
    <t>INF966L01911</t>
  </si>
  <si>
    <t>Quant NAV</t>
  </si>
  <si>
    <t>PGIM India Insta Cash Fund - Direct Plan - Monthly Dividend</t>
  </si>
  <si>
    <t>INF223J01NT3</t>
  </si>
  <si>
    <t>INF223J01NU1</t>
  </si>
  <si>
    <t>pgim nav</t>
  </si>
  <si>
    <t>PGIM RETURN</t>
  </si>
  <si>
    <t>Average</t>
  </si>
  <si>
    <t>Std. Deviation</t>
  </si>
  <si>
    <t>Alpha</t>
  </si>
  <si>
    <t>Beta</t>
  </si>
  <si>
    <t>QUANT FUND</t>
  </si>
  <si>
    <t>MRKT</t>
  </si>
  <si>
    <t>Jenson Alpha</t>
  </si>
  <si>
    <t>Treynor Ratio</t>
  </si>
  <si>
    <t>Sharpe</t>
  </si>
  <si>
    <t>M-Squared</t>
  </si>
  <si>
    <t xml:space="preserve">Average: </t>
  </si>
  <si>
    <t>Stdev:</t>
  </si>
  <si>
    <t>alpha</t>
  </si>
  <si>
    <t>beta</t>
  </si>
  <si>
    <t>UTI - Master Share-Growth Option - Direct</t>
  </si>
  <si>
    <t>INF789F01US8</t>
  </si>
  <si>
    <t>uti nav</t>
  </si>
  <si>
    <t xml:space="preserve">uti return </t>
  </si>
  <si>
    <t>Treynor:</t>
  </si>
  <si>
    <t>IDFC</t>
  </si>
  <si>
    <t>Market</t>
  </si>
  <si>
    <t>Sharpe:</t>
  </si>
  <si>
    <t>Avg fund return - [Avg RFR + Beta(Avg Market Return - Avg RFR)]</t>
  </si>
  <si>
    <t>Jensen aplha:</t>
  </si>
  <si>
    <t>(Avg fund return - Avg RFR) / Beta</t>
  </si>
  <si>
    <t>M SQuared:</t>
  </si>
  <si>
    <t>(Avg fund return - Avg RFR) / Standard deviation</t>
  </si>
  <si>
    <t>market risk[stdev(mrkt rtrn)]*(sharpe(security in concern)-sharpe(market))</t>
  </si>
  <si>
    <t>fund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</si>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</sst>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0.0000"/>
    <numFmt numFmtId="165" formatCode="d-mmm-yy"/>
    <numFmt numFmtId="166" formatCode="0.00000000"/>
    <numFmt numFmtId="167" formatCode="0.000000000"/>
    <numFmt numFmtId="168" formatCode="dd-mmm-yy"/>
    <numFmt numFmtId="169" formatCode="mmm dd, yyyy"/>
    <numFmt numFmtId="170" formatCode="d&quot;-&quot;mmm&quot;-&quot;yyyy"/>
    <numFmt numFmtId="171" formatCode="mmm d, yyyy"/>
    <numFmt numFmtId="172" formatCode="mmmm dd, yyyy"/>
    <numFmt numFmtId="173" formatCode="mmmm d, yyyy"/>
    <numFmt numFmtId="174" formatCode="d-mmmm-yy"/>
    <numFmt numFmtId="175" formatCode="d-mmm-yyyy"/>
    <numFmt numFmtId="176" formatCode="dd-mmm-yyyy"/>
    <numFmt numFmtId="177" formatCode="dd-mmmm-yy"/>
    <numFmt numFmtId="178" formatCode="0.000000"/>
    <numFmt numFmtId="179" formatCode="0.00000"/>
  </numFmts>
  <fonts count="17">
    <font>
      <sz val="10.0"/>
      <color rgb="FF000000"/>
      <name val="Arial"/>
      <scheme val="minor"/>
    </font>
    <font>
      <sz val="10.0"/>
      <color rgb="FF000000"/>
      <name val="Arial"/>
    </font>
    <font>
      <sz val="11.0"/>
      <color rgb="FF000000"/>
      <name val="Calibri"/>
    </font>
    <font>
      <b/>
      <color rgb="FF333333"/>
      <name val="Inherit"/>
    </font>
    <font>
      <color rgb="FF000000"/>
      <name val="&quot;Arial Unicode MS&quot;"/>
    </font>
    <font>
      <sz val="10.0"/>
      <color theme="1"/>
      <name val="Arial"/>
    </font>
    <font>
      <sz val="9.0"/>
      <color rgb="FFFF0000"/>
      <name val="Arial"/>
    </font>
    <font>
      <sz val="9.0"/>
      <color rgb="FF333333"/>
      <name val="Arial"/>
    </font>
    <font>
      <b/>
      <color rgb="FFFF0000"/>
      <name val="Inherit"/>
    </font>
    <font>
      <color rgb="FF000000"/>
      <name val="Arial"/>
    </font>
    <font>
      <sz val="9.0"/>
      <color rgb="FF0EA600"/>
      <name val="Arial"/>
    </font>
    <font>
      <color theme="1"/>
      <name val="Arial"/>
      <scheme val="minor"/>
    </font>
    <font>
      <b/>
      <color rgb="FF0EA600"/>
      <name val="Inherit"/>
    </font>
    <font>
      <b/>
      <color theme="1"/>
      <name val="Arial"/>
      <scheme val="minor"/>
    </font>
    <font>
      <b/>
      <sz val="10.0"/>
      <color theme="1"/>
      <name val="Arial"/>
    </font>
    <font>
      <sz val="10.0"/>
      <color rgb="FF000000"/>
      <name val="Inconsolata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F4FA"/>
        <bgColor rgb="FFEDF4FA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BABABA"/>
      </top>
      <bottom style="thin">
        <color rgb="FF000000"/>
      </bottom>
    </border>
    <border>
      <top style="thin">
        <color rgb="FFBABABA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ADADA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2" fontId="3" numFmtId="0" xfId="0" applyAlignment="1" applyFill="1" applyFont="1">
      <alignment horizontal="left" readingOrder="0" shrinkToFit="0" wrapText="0"/>
    </xf>
    <xf borderId="0" fillId="0" fontId="4" numFmtId="0" xfId="0" applyAlignment="1" applyFont="1">
      <alignment horizontal="right" readingOrder="0" shrinkToFit="0" wrapText="0"/>
    </xf>
    <xf borderId="0" fillId="0" fontId="5" numFmtId="164" xfId="0" applyFont="1" applyNumberFormat="1"/>
    <xf borderId="0" fillId="2" fontId="6" numFmtId="0" xfId="0" applyAlignment="1" applyFill="1" applyFont="1">
      <alignment horizontal="right" readingOrder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2" fontId="7" numFmtId="0" xfId="0" applyAlignment="1" applyFill="1" applyFont="1">
      <alignment horizontal="right" readingOrder="0"/>
    </xf>
    <xf borderId="0" fillId="0" fontId="5" numFmtId="166" xfId="0" applyFont="1" applyNumberFormat="1"/>
    <xf borderId="0" fillId="0" fontId="5" numFmtId="167" xfId="0" applyFont="1" applyNumberFormat="1"/>
    <xf borderId="0" fillId="0" fontId="2" numFmtId="0" xfId="0" applyAlignment="1" applyFont="1">
      <alignment horizontal="right" readingOrder="0" shrinkToFit="0" vertical="bottom" wrapText="0"/>
    </xf>
    <xf borderId="0" fillId="2" fontId="8" numFmtId="0" xfId="0" applyAlignment="1" applyFill="1" applyFont="1">
      <alignment horizontal="right" readingOrder="0"/>
    </xf>
    <xf borderId="0" fillId="0" fontId="2" numFmtId="168" xfId="0" applyAlignment="1" applyFont="1" applyNumberFormat="1">
      <alignment horizontal="right" readingOrder="0" shrinkToFit="0" vertical="bottom" wrapText="0"/>
    </xf>
    <xf borderId="1" fillId="2" fontId="3" numFmtId="169" xfId="0" applyAlignment="1" applyBorder="1" applyFill="1" applyFont="1" applyNumberFormat="1">
      <alignment horizontal="left" readingOrder="0" shrinkToFit="0" wrapText="0"/>
    </xf>
    <xf borderId="1" fillId="2" fontId="6" numFmtId="0" xfId="0" applyAlignment="1" applyBorder="1" applyFill="1" applyFont="1">
      <alignment horizontal="right" readingOrder="0"/>
    </xf>
    <xf borderId="2" fillId="0" fontId="6" numFmtId="0" xfId="0" applyAlignment="1" applyBorder="1" applyFont="1">
      <alignment horizontal="right" readingOrder="0"/>
    </xf>
    <xf borderId="0" fillId="0" fontId="2" numFmtId="11" xfId="0" applyAlignment="1" applyFont="1" applyNumberFormat="1">
      <alignment horizontal="right" readingOrder="0" shrinkToFit="0" vertical="bottom" wrapText="0"/>
    </xf>
    <xf borderId="1" fillId="2" fontId="7" numFmtId="0" xfId="0" applyAlignment="1" applyBorder="1" applyFill="1" applyFont="1">
      <alignment horizontal="right" readingOrder="0"/>
    </xf>
    <xf borderId="3" fillId="0" fontId="1" numFmtId="164" xfId="0" applyAlignment="1" applyBorder="1" applyFont="1" applyNumberFormat="1">
      <alignment readingOrder="0" shrinkToFit="0" vertical="center" wrapText="1"/>
    </xf>
    <xf borderId="4" fillId="0" fontId="9" numFmtId="0" xfId="0" applyAlignment="1" applyBorder="1" applyFont="1">
      <alignment horizontal="right" readingOrder="0" shrinkToFit="0" wrapText="0"/>
    </xf>
    <xf borderId="1" fillId="2" fontId="8" numFmtId="10" xfId="0" applyAlignment="1" applyBorder="1" applyFill="1" applyFont="1" applyNumberFormat="1">
      <alignment horizontal="right" readingOrder="0"/>
    </xf>
    <xf borderId="4" fillId="0" fontId="1" numFmtId="164" xfId="0" applyAlignment="1" applyBorder="1" applyFont="1" applyNumberFormat="1">
      <alignment readingOrder="0" shrinkToFit="0" vertical="center" wrapText="1"/>
    </xf>
    <xf borderId="5" fillId="0" fontId="5" numFmtId="164" xfId="0" applyAlignment="1" applyBorder="1" applyFont="1" applyNumberFormat="1">
      <alignment readingOrder="0" shrinkToFit="0" vertical="center" wrapText="1"/>
    </xf>
    <xf borderId="6" fillId="2" fontId="3" numFmtId="169" xfId="0" applyAlignment="1" applyBorder="1" applyFill="1" applyFont="1" applyNumberFormat="1">
      <alignment horizontal="left" readingOrder="0" shrinkToFit="0" wrapText="0"/>
    </xf>
    <xf borderId="7" fillId="0" fontId="2" numFmtId="0" xfId="0" applyAlignment="1" applyBorder="1" applyFont="1">
      <alignment readingOrder="0" shrinkToFit="0" vertical="bottom" wrapText="0"/>
    </xf>
    <xf borderId="7" fillId="0" fontId="1" numFmtId="164" xfId="0" applyAlignment="1" applyBorder="1" applyFont="1" applyNumberFormat="1">
      <alignment readingOrder="0" shrinkToFit="0" vertical="center" wrapText="1"/>
    </xf>
    <xf borderId="5" fillId="0" fontId="2" numFmtId="0" xfId="0" applyAlignment="1" applyBorder="1" applyFont="1">
      <alignment readingOrder="0" shrinkToFit="0" vertical="bottom" wrapText="0"/>
    </xf>
    <xf borderId="6" fillId="2" fontId="10" numFmtId="0" xfId="0" applyAlignment="1" applyBorder="1" applyFill="1" applyFont="1">
      <alignment horizontal="right" readingOrder="0"/>
    </xf>
    <xf borderId="7" fillId="0" fontId="1" numFmtId="166" xfId="0" applyAlignment="1" applyBorder="1" applyFont="1" applyNumberFormat="1">
      <alignment readingOrder="0" shrinkToFit="0" vertical="center" wrapText="1"/>
    </xf>
    <xf borderId="6" fillId="2" fontId="7" numFmtId="0" xfId="0" applyAlignment="1" applyBorder="1" applyFill="1" applyFont="1">
      <alignment horizontal="right" readingOrder="0"/>
    </xf>
    <xf borderId="5" fillId="0" fontId="11" numFmtId="167" xfId="0" applyAlignment="1" applyBorder="1" applyFont="1" applyNumberFormat="1">
      <alignment readingOrder="0" shrinkToFit="0" wrapText="1"/>
    </xf>
    <xf borderId="4" fillId="0" fontId="2" numFmtId="0" xfId="0" applyAlignment="1" applyBorder="1" applyFont="1">
      <alignment readingOrder="0" shrinkToFit="0" vertical="bottom" wrapText="0"/>
    </xf>
    <xf borderId="6" fillId="2" fontId="12" numFmtId="10" xfId="0" applyAlignment="1" applyBorder="1" applyFill="1" applyFont="1" applyNumberFormat="1">
      <alignment horizontal="right" readingOrder="0"/>
    </xf>
    <xf borderId="5" fillId="0" fontId="1" numFmtId="164" xfId="0" applyAlignment="1" applyBorder="1" applyFont="1" applyNumberFormat="1">
      <alignment readingOrder="0" shrinkToFit="0" vertical="center" wrapText="1"/>
    </xf>
    <xf borderId="5" fillId="0" fontId="2" numFmtId="0" xfId="0" applyAlignment="1" applyBorder="1" applyFont="1">
      <alignment horizontal="right" readingOrder="0" shrinkToFit="0" vertical="bottom" wrapText="0"/>
    </xf>
    <xf borderId="0" fillId="0" fontId="5" numFmtId="164" xfId="0" applyAlignment="1" applyFont="1" applyNumberFormat="1">
      <alignment shrinkToFit="0" vertical="center" wrapText="1"/>
    </xf>
    <xf borderId="8" fillId="0" fontId="1" numFmtId="170" xfId="0" applyAlignment="1" applyBorder="1" applyFont="1" applyNumberFormat="1">
      <alignment horizontal="right" readingOrder="0" shrinkToFit="0" vertical="bottom" wrapText="0"/>
    </xf>
    <xf borderId="6" fillId="2" fontId="6" numFmtId="0" xfId="0" applyAlignment="1" applyBorder="1" applyFill="1" applyFont="1">
      <alignment horizontal="right" readingOrder="0"/>
    </xf>
    <xf borderId="9" fillId="0" fontId="1" numFmtId="164" xfId="0" applyAlignment="1" applyBorder="1" applyFont="1" applyNumberFormat="1">
      <alignment horizontal="right" readingOrder="0" shrinkToFit="0" vertical="bottom" wrapText="0"/>
    </xf>
    <xf borderId="10" fillId="0" fontId="5" numFmtId="164" xfId="0" applyBorder="1" applyFont="1" applyNumberFormat="1"/>
    <xf borderId="6" fillId="2" fontId="8" numFmtId="10" xfId="0" applyAlignment="1" applyBorder="1" applyFill="1" applyFont="1" applyNumberFormat="1">
      <alignment horizontal="right" readingOrder="0"/>
    </xf>
    <xf borderId="9" fillId="0" fontId="1" numFmtId="164" xfId="0" applyAlignment="1" applyBorder="1" applyFont="1" applyNumberFormat="1">
      <alignment horizontal="right" vertical="bottom"/>
    </xf>
    <xf borderId="9" fillId="2" fontId="1" numFmtId="164" xfId="0" applyAlignment="1" applyBorder="1" applyFill="1" applyFont="1" applyNumberFormat="1">
      <alignment horizontal="right" readingOrder="0"/>
    </xf>
    <xf borderId="4" fillId="0" fontId="11" numFmtId="0" xfId="0" applyAlignment="1" applyBorder="1" applyFont="1">
      <alignment readingOrder="0"/>
    </xf>
    <xf borderId="6" fillId="2" fontId="3" numFmtId="171" xfId="0" applyAlignment="1" applyBorder="1" applyFill="1" applyFont="1" applyNumberFormat="1">
      <alignment horizontal="left" readingOrder="0" shrinkToFit="0" wrapText="0"/>
    </xf>
    <xf borderId="9" fillId="0" fontId="2" numFmtId="168" xfId="0" applyAlignment="1" applyBorder="1" applyFont="1" applyNumberFormat="1">
      <alignment horizontal="right" readingOrder="0"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9" fillId="0" fontId="1" numFmtId="164" xfId="0" applyAlignment="1" applyBorder="1" applyFont="1" applyNumberFormat="1">
      <alignment horizontal="right" readingOrder="0"/>
    </xf>
    <xf borderId="0" fillId="0" fontId="1" numFmtId="164" xfId="0" applyFont="1" applyNumberFormat="1"/>
    <xf borderId="0" fillId="0" fontId="1" numFmtId="166" xfId="0" applyFont="1" applyNumberFormat="1"/>
    <xf borderId="10" fillId="0" fontId="1" numFmtId="167" xfId="0" applyBorder="1" applyFont="1" applyNumberFormat="1"/>
    <xf borderId="9" fillId="0" fontId="5" numFmtId="164" xfId="0" applyBorder="1" applyFont="1" applyNumberFormat="1"/>
    <xf borderId="0" fillId="0" fontId="11" numFmtId="167" xfId="0" applyFont="1" applyNumberFormat="1"/>
    <xf borderId="9" fillId="0" fontId="2" numFmtId="165" xfId="0" applyAlignment="1" applyBorder="1" applyFont="1" applyNumberFormat="1">
      <alignment horizontal="right" readingOrder="0" shrinkToFit="0" vertical="bottom" wrapText="0"/>
    </xf>
    <xf borderId="6" fillId="2" fontId="3" numFmtId="172" xfId="0" applyAlignment="1" applyBorder="1" applyFill="1" applyFont="1" applyNumberFormat="1">
      <alignment horizontal="left" readingOrder="0" shrinkToFit="0" wrapText="0"/>
    </xf>
    <xf borderId="6" fillId="2" fontId="3" numFmtId="173" xfId="0" applyAlignment="1" applyBorder="1" applyFill="1" applyFont="1" applyNumberFormat="1">
      <alignment horizontal="left" readingOrder="0" shrinkToFit="0" wrapText="0"/>
    </xf>
    <xf borderId="6" fillId="3" fontId="3" numFmtId="171" xfId="0" applyAlignment="1" applyBorder="1" applyFill="1" applyFont="1" applyNumberFormat="1">
      <alignment horizontal="left" readingOrder="0" shrinkToFit="0" wrapText="0"/>
    </xf>
    <xf borderId="6" fillId="3" fontId="6" numFmtId="0" xfId="0" applyAlignment="1" applyBorder="1" applyFill="1" applyFont="1">
      <alignment horizontal="right" readingOrder="0"/>
    </xf>
    <xf borderId="6" fillId="3" fontId="7" numFmtId="0" xfId="0" applyAlignment="1" applyBorder="1" applyFill="1" applyFont="1">
      <alignment horizontal="right" readingOrder="0"/>
    </xf>
    <xf borderId="6" fillId="3" fontId="8" numFmtId="10" xfId="0" applyAlignment="1" applyBorder="1" applyFill="1" applyFont="1" applyNumberFormat="1">
      <alignment horizontal="right" readingOrder="0"/>
    </xf>
    <xf borderId="0" fillId="0" fontId="2" numFmtId="174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/>
    </xf>
    <xf borderId="0" fillId="0" fontId="11" numFmtId="175" xfId="0" applyAlignment="1" applyFont="1" applyNumberFormat="1">
      <alignment readingOrder="0"/>
    </xf>
    <xf borderId="0" fillId="0" fontId="11" numFmtId="176" xfId="0" applyAlignment="1" applyFont="1" applyNumberFormat="1">
      <alignment readingOrder="0"/>
    </xf>
    <xf borderId="0" fillId="0" fontId="11" numFmtId="0" xfId="0" applyFont="1"/>
    <xf borderId="0" fillId="0" fontId="2" numFmtId="177" xfId="0" applyAlignment="1" applyFont="1" applyNumberFormat="1">
      <alignment horizontal="right" readingOrder="0" shrinkToFit="0" vertical="bottom" wrapText="0"/>
    </xf>
    <xf borderId="9" fillId="0" fontId="2" numFmtId="177" xfId="0" applyAlignment="1" applyBorder="1" applyFont="1" applyNumberFormat="1">
      <alignment horizontal="right" readingOrder="0" shrinkToFit="0" vertical="bottom" wrapText="0"/>
    </xf>
    <xf borderId="9" fillId="0" fontId="2" numFmtId="174" xfId="0" applyAlignment="1" applyBorder="1" applyFont="1" applyNumberFormat="1">
      <alignment horizontal="right" readingOrder="0" shrinkToFit="0" vertical="bottom" wrapText="0"/>
    </xf>
    <xf borderId="9" fillId="0" fontId="5" numFmtId="164" xfId="0" applyAlignment="1" applyBorder="1" applyFont="1" applyNumberFormat="1">
      <alignment horizontal="right" vertical="bottom"/>
    </xf>
    <xf borderId="11" fillId="0" fontId="5" numFmtId="164" xfId="0" applyAlignment="1" applyBorder="1" applyFont="1" applyNumberFormat="1">
      <alignment horizontal="right" vertical="bottom"/>
    </xf>
    <xf borderId="12" fillId="0" fontId="5" numFmtId="164" xfId="0" applyBorder="1" applyFont="1" applyNumberFormat="1"/>
    <xf borderId="11" fillId="2" fontId="1" numFmtId="164" xfId="0" applyAlignment="1" applyBorder="1" applyFill="1" applyFont="1" applyNumberFormat="1">
      <alignment horizontal="right" readingOrder="0"/>
    </xf>
    <xf borderId="13" fillId="0" fontId="1" numFmtId="164" xfId="0" applyBorder="1" applyFont="1" applyNumberFormat="1"/>
    <xf borderId="13" fillId="0" fontId="1" numFmtId="166" xfId="0" applyBorder="1" applyFont="1" applyNumberFormat="1"/>
    <xf borderId="12" fillId="0" fontId="1" numFmtId="167" xfId="0" applyBorder="1" applyFont="1" applyNumberFormat="1"/>
    <xf borderId="0" fillId="0" fontId="5" numFmtId="164" xfId="0" applyAlignment="1" applyFont="1" applyNumberFormat="1">
      <alignment readingOrder="0"/>
    </xf>
    <xf borderId="0" fillId="0" fontId="5" numFmtId="178" xfId="0" applyFont="1" applyNumberFormat="1"/>
    <xf borderId="0" fillId="0" fontId="5" numFmtId="164" xfId="0" applyAlignment="1" applyFont="1" applyNumberFormat="1">
      <alignment vertical="bottom"/>
    </xf>
    <xf borderId="3" fillId="0" fontId="11" numFmtId="0" xfId="0" applyBorder="1" applyFont="1"/>
    <xf borderId="3" fillId="0" fontId="13" numFmtId="0" xfId="0" applyAlignment="1" applyBorder="1" applyFont="1">
      <alignment readingOrder="0"/>
    </xf>
    <xf borderId="3" fillId="0" fontId="14" numFmtId="164" xfId="0" applyAlignment="1" applyBorder="1" applyFont="1" applyNumberFormat="1">
      <alignment readingOrder="0"/>
    </xf>
    <xf borderId="3" fillId="0" fontId="11" numFmtId="179" xfId="0" applyBorder="1" applyFont="1" applyNumberFormat="1"/>
    <xf borderId="3" fillId="0" fontId="11" numFmtId="179" xfId="0" applyAlignment="1" applyBorder="1" applyFont="1" applyNumberFormat="1">
      <alignment readingOrder="0"/>
    </xf>
    <xf borderId="14" fillId="0" fontId="1" numFmtId="170" xfId="0" applyAlignment="1" applyBorder="1" applyFont="1" applyNumberFormat="1">
      <alignment horizontal="right" readingOrder="0" shrinkToFit="0" vertical="bottom" wrapText="0"/>
    </xf>
    <xf borderId="11" fillId="0" fontId="1" numFmtId="164" xfId="0" applyAlignment="1" applyBorder="1" applyFont="1" applyNumberFormat="1">
      <alignment horizontal="right" readingOrder="0" shrinkToFit="0" vertical="bottom" wrapText="0"/>
    </xf>
    <xf borderId="11" fillId="0" fontId="2" numFmtId="168" xfId="0" applyAlignment="1" applyBorder="1" applyFont="1" applyNumberFormat="1">
      <alignment horizontal="right" readingOrder="0" shrinkToFit="0" vertical="bottom" wrapText="0"/>
    </xf>
    <xf borderId="13" fillId="0" fontId="2" numFmtId="0" xfId="0" applyAlignment="1" applyBorder="1" applyFont="1">
      <alignment horizontal="right" readingOrder="0" shrinkToFit="0" vertical="bottom" wrapText="0"/>
    </xf>
    <xf borderId="12" fillId="0" fontId="2" numFmtId="0" xfId="0" applyAlignment="1" applyBorder="1" applyFont="1">
      <alignment readingOrder="0" shrinkToFit="0" vertical="bottom" wrapText="0"/>
    </xf>
    <xf borderId="11" fillId="0" fontId="5" numFmtId="164" xfId="0" applyBorder="1" applyFont="1" applyNumberFormat="1"/>
    <xf borderId="15" fillId="0" fontId="5" numFmtId="164" xfId="0" applyAlignment="1" applyBorder="1" applyFont="1" applyNumberFormat="1">
      <alignment horizontal="right" vertical="bottom"/>
    </xf>
    <xf borderId="15" fillId="0" fontId="2" numFmtId="0" xfId="0" applyAlignment="1" applyBorder="1" applyFont="1">
      <alignment horizontal="right" readingOrder="0" shrinkToFit="0" vertical="bottom" wrapText="0"/>
    </xf>
    <xf borderId="15" fillId="0" fontId="1" numFmtId="164" xfId="0" applyAlignment="1" applyBorder="1" applyFont="1" applyNumberFormat="1">
      <alignment horizontal="right" readingOrder="0"/>
    </xf>
    <xf borderId="15" fillId="0" fontId="1" numFmtId="164" xfId="0" applyBorder="1" applyFont="1" applyNumberFormat="1"/>
    <xf borderId="15" fillId="0" fontId="1" numFmtId="166" xfId="0" applyBorder="1" applyFont="1" applyNumberFormat="1"/>
    <xf borderId="15" fillId="0" fontId="1" numFmtId="167" xfId="0" applyBorder="1" applyFont="1" applyNumberFormat="1"/>
    <xf borderId="15" fillId="0" fontId="11" numFmtId="0" xfId="0" applyBorder="1" applyFont="1"/>
    <xf borderId="15" fillId="0" fontId="5" numFmtId="164" xfId="0" applyBorder="1" applyFont="1" applyNumberFormat="1"/>
    <xf borderId="0" fillId="2" fontId="15" numFmtId="164" xfId="0" applyFill="1" applyFont="1" applyNumberFormat="1"/>
    <xf borderId="0" fillId="0" fontId="2" numFmtId="178" xfId="0" applyAlignment="1" applyFont="1" applyNumberFormat="1">
      <alignment horizontal="right" readingOrder="0" shrinkToFit="0" vertical="bottom" wrapText="0"/>
    </xf>
    <xf borderId="3" fillId="0" fontId="5" numFmtId="164" xfId="0" applyBorder="1" applyFont="1" applyNumberFormat="1"/>
    <xf borderId="0" fillId="0" fontId="11" numFmtId="178" xfId="0" applyFont="1" applyNumberFormat="1"/>
    <xf borderId="3" fillId="0" fontId="5" numFmtId="164" xfId="0" applyAlignment="1" applyBorder="1" applyFont="1" applyNumberFormat="1">
      <alignment readingOrder="0"/>
    </xf>
    <xf borderId="3" fillId="0" fontId="13" numFmtId="0" xfId="0" applyBorder="1" applyFont="1"/>
    <xf borderId="3" fillId="0" fontId="16" numFmtId="0" xfId="0" applyAlignment="1" applyBorder="1" applyFont="1">
      <alignment horizontal="right" readingOrder="0" shrinkToFit="0" vertical="bottom" wrapText="0"/>
    </xf>
    <xf borderId="3" fillId="0" fontId="14" numFmtId="164" xfId="0" applyAlignment="1" applyBorder="1" applyFont="1" applyNumberFormat="1">
      <alignment readingOrder="0" vertical="bottom"/>
    </xf>
    <xf borderId="3" fillId="0" fontId="2" numFmtId="0" xfId="0" applyAlignment="1" applyBorder="1" applyFont="1">
      <alignment horizontal="right" readingOrder="0" shrinkToFit="0" vertical="bottom" wrapText="0"/>
    </xf>
    <xf borderId="3" fillId="0" fontId="11" numFmtId="178" xfId="0" applyBorder="1" applyFont="1" applyNumberFormat="1"/>
    <xf borderId="3" fillId="0" fontId="5" numFmtId="164" xfId="0" applyAlignment="1" applyBorder="1" applyFont="1" applyNumberFormat="1">
      <alignment readingOrder="0" vertical="bottom"/>
    </xf>
    <xf borderId="3" fillId="0" fontId="5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</row>
    <row r="2">
      <c r="A2" s="7">
        <v>43313.0</v>
      </c>
      <c r="B2" s="11">
        <v>11359.8</v>
      </c>
      <c r="C2" s="11">
        <v>11390.55</v>
      </c>
      <c r="D2" s="11">
        <v>11313.55</v>
      </c>
      <c r="E2" s="11">
        <v>11346.2</v>
      </c>
      <c r="F2" s="17">
        <v>2.78E8</v>
      </c>
      <c r="G2" s="11">
        <v>14436.12</v>
      </c>
    </row>
    <row r="3">
      <c r="A3" s="7">
        <v>43314.0</v>
      </c>
      <c r="B3" s="11">
        <v>11328.9</v>
      </c>
      <c r="C3" s="11">
        <v>11328.9</v>
      </c>
      <c r="D3" s="11">
        <v>11234.95</v>
      </c>
      <c r="E3" s="11">
        <v>11244.7</v>
      </c>
      <c r="F3" s="17">
        <v>2.17E8</v>
      </c>
      <c r="G3" s="11">
        <v>12267.66</v>
      </c>
    </row>
    <row r="4">
      <c r="A4" s="7">
        <v>43315.0</v>
      </c>
      <c r="B4" s="11">
        <v>11297.8</v>
      </c>
      <c r="C4" s="11">
        <v>11368.0</v>
      </c>
      <c r="D4" s="11">
        <v>11294.55</v>
      </c>
      <c r="E4" s="11">
        <v>11360.8</v>
      </c>
      <c r="F4" s="17">
        <v>2.25E8</v>
      </c>
      <c r="G4" s="11">
        <v>12984.66</v>
      </c>
    </row>
    <row r="5">
      <c r="A5" s="7">
        <v>43318.0</v>
      </c>
      <c r="B5" s="11">
        <v>11401.5</v>
      </c>
      <c r="C5" s="11">
        <v>11427.65</v>
      </c>
      <c r="D5" s="11">
        <v>11370.6</v>
      </c>
      <c r="E5" s="11">
        <v>11387.1</v>
      </c>
      <c r="F5" s="17">
        <v>2.1E8</v>
      </c>
      <c r="G5" s="11">
        <v>11321.55</v>
      </c>
    </row>
    <row r="6">
      <c r="A6" s="7">
        <v>43319.0</v>
      </c>
      <c r="B6" s="11">
        <v>11423.15</v>
      </c>
      <c r="C6" s="11">
        <v>11428.95</v>
      </c>
      <c r="D6" s="11">
        <v>11359.7</v>
      </c>
      <c r="E6" s="11">
        <v>11389.45</v>
      </c>
      <c r="F6" s="17">
        <v>2.33E8</v>
      </c>
      <c r="G6" s="11">
        <v>12457.71</v>
      </c>
    </row>
    <row r="7">
      <c r="A7" s="7">
        <v>43320.0</v>
      </c>
      <c r="B7" s="11">
        <v>11412.5</v>
      </c>
      <c r="C7" s="11">
        <v>11459.95</v>
      </c>
      <c r="D7" s="11">
        <v>11379.3</v>
      </c>
      <c r="E7" s="11">
        <v>11450.0</v>
      </c>
      <c r="F7" s="17">
        <v>2.17E8</v>
      </c>
      <c r="G7" s="11">
        <v>12422.62</v>
      </c>
    </row>
    <row r="8">
      <c r="A8" s="7">
        <v>43321.0</v>
      </c>
      <c r="B8" s="11">
        <v>11493.25</v>
      </c>
      <c r="C8" s="11">
        <v>11495.2</v>
      </c>
      <c r="D8" s="11">
        <v>11454.1</v>
      </c>
      <c r="E8" s="11">
        <v>11470.7</v>
      </c>
      <c r="F8" s="17">
        <v>3.12E8</v>
      </c>
      <c r="G8" s="11">
        <v>15842.76</v>
      </c>
    </row>
    <row r="9">
      <c r="A9" s="7">
        <v>43322.0</v>
      </c>
      <c r="B9" s="11">
        <v>11474.95</v>
      </c>
      <c r="C9" s="11">
        <v>11478.75</v>
      </c>
      <c r="D9" s="11">
        <v>11419.65</v>
      </c>
      <c r="E9" s="11">
        <v>11429.5</v>
      </c>
      <c r="F9" s="17">
        <v>3.36E8</v>
      </c>
      <c r="G9" s="11">
        <v>15738.26</v>
      </c>
    </row>
    <row r="10">
      <c r="A10" s="7">
        <v>43325.0</v>
      </c>
      <c r="B10" s="11">
        <v>11369.6</v>
      </c>
      <c r="C10" s="11">
        <v>11406.3</v>
      </c>
      <c r="D10" s="11">
        <v>11340.3</v>
      </c>
      <c r="E10" s="11">
        <v>11355.75</v>
      </c>
      <c r="F10" s="17">
        <v>2.54E8</v>
      </c>
      <c r="G10" s="11">
        <v>12899.22</v>
      </c>
    </row>
    <row r="11">
      <c r="A11" s="7">
        <v>43326.0</v>
      </c>
      <c r="B11" s="11">
        <v>11381.7</v>
      </c>
      <c r="C11" s="11">
        <v>11452.45</v>
      </c>
      <c r="D11" s="11">
        <v>11370.8</v>
      </c>
      <c r="E11" s="11">
        <v>11435.1</v>
      </c>
      <c r="F11" s="17">
        <v>2.4E8</v>
      </c>
      <c r="G11" s="11">
        <v>13935.35</v>
      </c>
    </row>
    <row r="12">
      <c r="A12" s="7">
        <v>43328.0</v>
      </c>
      <c r="B12" s="11">
        <v>11397.15</v>
      </c>
      <c r="C12" s="11">
        <v>11449.85</v>
      </c>
      <c r="D12" s="11">
        <v>11366.25</v>
      </c>
      <c r="E12" s="11">
        <v>11385.05</v>
      </c>
      <c r="F12" s="17">
        <v>3.0E8</v>
      </c>
      <c r="G12" s="11">
        <v>17081.62</v>
      </c>
    </row>
    <row r="13">
      <c r="A13" s="7">
        <v>43329.0</v>
      </c>
      <c r="B13" s="11">
        <v>11437.15</v>
      </c>
      <c r="C13" s="11">
        <v>11486.45</v>
      </c>
      <c r="D13" s="11">
        <v>11431.8</v>
      </c>
      <c r="E13" s="11">
        <v>11470.75</v>
      </c>
      <c r="F13" s="17">
        <v>2.42E8</v>
      </c>
      <c r="G13" s="11">
        <v>13275.31</v>
      </c>
    </row>
    <row r="14">
      <c r="A14" s="7">
        <v>43332.0</v>
      </c>
      <c r="B14" s="11">
        <v>11502.1</v>
      </c>
      <c r="C14" s="11">
        <v>11565.3</v>
      </c>
      <c r="D14" s="11">
        <v>11499.65</v>
      </c>
      <c r="E14" s="11">
        <v>11551.75</v>
      </c>
      <c r="F14" s="17">
        <v>2.4E8</v>
      </c>
      <c r="G14" s="11">
        <v>14119.93</v>
      </c>
    </row>
    <row r="15">
      <c r="A15" s="7">
        <v>43333.0</v>
      </c>
      <c r="B15" s="11">
        <v>11576.2</v>
      </c>
      <c r="C15" s="11">
        <v>11581.75</v>
      </c>
      <c r="D15" s="11">
        <v>11539.6</v>
      </c>
      <c r="E15" s="11">
        <v>11570.9</v>
      </c>
      <c r="F15" s="17">
        <v>2.31E8</v>
      </c>
      <c r="G15" s="11">
        <v>13528.83</v>
      </c>
    </row>
    <row r="16">
      <c r="A16" s="7">
        <v>43335.0</v>
      </c>
      <c r="B16" s="11">
        <v>11620.7</v>
      </c>
      <c r="C16" s="11">
        <v>11620.7</v>
      </c>
      <c r="D16" s="11">
        <v>11546.7</v>
      </c>
      <c r="E16" s="11">
        <v>11582.75</v>
      </c>
      <c r="F16" s="17">
        <v>2.56E8</v>
      </c>
      <c r="G16" s="11">
        <v>16117.77</v>
      </c>
    </row>
    <row r="17">
      <c r="A17" s="7">
        <v>43336.0</v>
      </c>
      <c r="B17" s="11">
        <v>11566.6</v>
      </c>
      <c r="C17" s="11">
        <v>11604.6</v>
      </c>
      <c r="D17" s="11">
        <v>11532.0</v>
      </c>
      <c r="E17" s="11">
        <v>11557.1</v>
      </c>
      <c r="F17" s="17">
        <v>2.26E8</v>
      </c>
      <c r="G17" s="11">
        <v>13019.55</v>
      </c>
    </row>
    <row r="18">
      <c r="A18" s="7">
        <v>43339.0</v>
      </c>
      <c r="B18" s="11">
        <v>11605.85</v>
      </c>
      <c r="C18" s="11">
        <v>11700.95</v>
      </c>
      <c r="D18" s="11">
        <v>11595.6</v>
      </c>
      <c r="E18" s="11">
        <v>11691.95</v>
      </c>
      <c r="F18" s="17">
        <v>2.06E8</v>
      </c>
      <c r="G18" s="11">
        <v>11707.5</v>
      </c>
    </row>
    <row r="19">
      <c r="A19" s="7">
        <v>43340.0</v>
      </c>
      <c r="B19" s="11">
        <v>11731.95</v>
      </c>
      <c r="C19" s="11">
        <v>11760.2</v>
      </c>
      <c r="D19" s="11">
        <v>11710.5</v>
      </c>
      <c r="E19" s="11">
        <v>11738.5</v>
      </c>
      <c r="F19" s="17">
        <v>2.49E8</v>
      </c>
      <c r="G19" s="11">
        <v>13946.7</v>
      </c>
    </row>
    <row r="20">
      <c r="A20" s="7">
        <v>43341.0</v>
      </c>
      <c r="B20" s="11">
        <v>11744.95</v>
      </c>
      <c r="C20" s="11">
        <v>11753.2</v>
      </c>
      <c r="D20" s="11">
        <v>11678.85</v>
      </c>
      <c r="E20" s="11">
        <v>11691.9</v>
      </c>
      <c r="F20" s="17">
        <v>2.59E8</v>
      </c>
      <c r="G20" s="11">
        <v>14324.65</v>
      </c>
    </row>
    <row r="21">
      <c r="A21" s="7">
        <v>43342.0</v>
      </c>
      <c r="B21" s="11">
        <v>11694.75</v>
      </c>
      <c r="C21" s="11">
        <v>11698.8</v>
      </c>
      <c r="D21" s="11">
        <v>11639.7</v>
      </c>
      <c r="E21" s="11">
        <v>11676.8</v>
      </c>
      <c r="F21" s="17">
        <v>3.23E8</v>
      </c>
      <c r="G21" s="11">
        <v>18275.54</v>
      </c>
    </row>
    <row r="22">
      <c r="A22" s="7">
        <v>43343.0</v>
      </c>
      <c r="B22" s="11">
        <v>11675.85</v>
      </c>
      <c r="C22" s="11">
        <v>11727.65</v>
      </c>
      <c r="D22" s="11">
        <v>11640.1</v>
      </c>
      <c r="E22" s="11">
        <v>11680.5</v>
      </c>
      <c r="F22" s="17">
        <v>3.57E8</v>
      </c>
      <c r="G22" s="11">
        <v>20755.73</v>
      </c>
    </row>
    <row r="23">
      <c r="A23" s="7">
        <v>43346.0</v>
      </c>
      <c r="B23" s="11">
        <v>11751.8</v>
      </c>
      <c r="C23" s="11">
        <v>11751.8</v>
      </c>
      <c r="D23" s="11">
        <v>11567.4</v>
      </c>
      <c r="E23" s="11">
        <v>11582.35</v>
      </c>
      <c r="F23" s="17">
        <v>2.42E8</v>
      </c>
      <c r="G23" s="11">
        <v>16139.58</v>
      </c>
    </row>
    <row r="24">
      <c r="A24" s="7">
        <v>43347.0</v>
      </c>
      <c r="B24" s="11">
        <v>11598.75</v>
      </c>
      <c r="C24" s="11">
        <v>11602.55</v>
      </c>
      <c r="D24" s="11">
        <v>11496.85</v>
      </c>
      <c r="E24" s="11">
        <v>11520.3</v>
      </c>
      <c r="F24" s="17">
        <v>2.63E8</v>
      </c>
      <c r="G24" s="11">
        <v>16254.78</v>
      </c>
    </row>
    <row r="25">
      <c r="A25" s="7">
        <v>43348.0</v>
      </c>
      <c r="B25" s="11">
        <v>11514.85</v>
      </c>
      <c r="C25" s="11">
        <v>11542.65</v>
      </c>
      <c r="D25" s="11">
        <v>11393.85</v>
      </c>
      <c r="E25" s="11">
        <v>11476.95</v>
      </c>
      <c r="F25" s="17">
        <v>2.54E8</v>
      </c>
      <c r="G25" s="11">
        <v>15078.23</v>
      </c>
    </row>
    <row r="26">
      <c r="A26" s="7">
        <v>43349.0</v>
      </c>
      <c r="B26" s="11">
        <v>11514.15</v>
      </c>
      <c r="C26" s="11">
        <v>11562.25</v>
      </c>
      <c r="D26" s="11">
        <v>11436.05</v>
      </c>
      <c r="E26" s="11">
        <v>11536.9</v>
      </c>
      <c r="F26" s="17">
        <v>2.56E8</v>
      </c>
      <c r="G26" s="11">
        <v>15161.0</v>
      </c>
    </row>
    <row r="27">
      <c r="A27" s="7">
        <v>43350.0</v>
      </c>
      <c r="B27" s="11">
        <v>11558.25</v>
      </c>
      <c r="C27" s="11">
        <v>11603.0</v>
      </c>
      <c r="D27" s="11">
        <v>11484.4</v>
      </c>
      <c r="E27" s="11">
        <v>11589.1</v>
      </c>
      <c r="F27" s="17">
        <v>3.05E8</v>
      </c>
      <c r="G27" s="11">
        <v>16441.02</v>
      </c>
    </row>
    <row r="28">
      <c r="A28" s="7">
        <v>43353.0</v>
      </c>
      <c r="B28" s="11">
        <v>11570.25</v>
      </c>
      <c r="C28" s="11">
        <v>11573.0</v>
      </c>
      <c r="D28" s="11">
        <v>11427.3</v>
      </c>
      <c r="E28" s="11">
        <v>11438.1</v>
      </c>
      <c r="F28" s="17">
        <v>2.96E8</v>
      </c>
      <c r="G28" s="11">
        <v>16513.89</v>
      </c>
    </row>
    <row r="29">
      <c r="A29" s="7">
        <v>43354.0</v>
      </c>
      <c r="B29" s="11">
        <v>11476.85</v>
      </c>
      <c r="C29" s="11">
        <v>11479.4</v>
      </c>
      <c r="D29" s="11">
        <v>11274.0</v>
      </c>
      <c r="E29" s="11">
        <v>11287.5</v>
      </c>
      <c r="F29" s="17">
        <v>3.18E8</v>
      </c>
      <c r="G29" s="11">
        <v>18745.54</v>
      </c>
    </row>
    <row r="30">
      <c r="A30" s="7">
        <v>43355.0</v>
      </c>
      <c r="B30" s="11">
        <v>11340.1</v>
      </c>
      <c r="C30" s="11">
        <v>11380.75</v>
      </c>
      <c r="D30" s="11">
        <v>11250.2</v>
      </c>
      <c r="E30" s="11">
        <v>11369.9</v>
      </c>
      <c r="F30" s="17">
        <v>2.77E8</v>
      </c>
      <c r="G30" s="11">
        <v>15567.9</v>
      </c>
    </row>
    <row r="31">
      <c r="A31" s="7">
        <v>43357.0</v>
      </c>
      <c r="B31" s="11">
        <v>11443.5</v>
      </c>
      <c r="C31" s="11">
        <v>11523.25</v>
      </c>
      <c r="D31" s="11">
        <v>11430.55</v>
      </c>
      <c r="E31" s="11">
        <v>11515.2</v>
      </c>
      <c r="F31" s="17">
        <v>2.85E8</v>
      </c>
      <c r="G31" s="11">
        <v>16423.36</v>
      </c>
    </row>
    <row r="32">
      <c r="A32" s="7">
        <v>43360.0</v>
      </c>
      <c r="B32" s="11">
        <v>11464.95</v>
      </c>
      <c r="C32" s="11">
        <v>11464.95</v>
      </c>
      <c r="D32" s="11">
        <v>11366.9</v>
      </c>
      <c r="E32" s="11">
        <v>11377.75</v>
      </c>
      <c r="F32" s="17">
        <v>2.08E8</v>
      </c>
      <c r="G32" s="11">
        <v>11294.84</v>
      </c>
    </row>
    <row r="33">
      <c r="A33" s="7">
        <v>43361.0</v>
      </c>
      <c r="B33" s="11">
        <v>11381.55</v>
      </c>
      <c r="C33" s="11">
        <v>11411.45</v>
      </c>
      <c r="D33" s="11">
        <v>11268.95</v>
      </c>
      <c r="E33" s="11">
        <v>11278.9</v>
      </c>
      <c r="F33" s="17">
        <v>2.48E8</v>
      </c>
      <c r="G33" s="11">
        <v>13814.11</v>
      </c>
    </row>
    <row r="34">
      <c r="A34" s="7">
        <v>43362.0</v>
      </c>
      <c r="B34" s="11">
        <v>11326.65</v>
      </c>
      <c r="C34" s="11">
        <v>11332.05</v>
      </c>
      <c r="D34" s="11">
        <v>11210.9</v>
      </c>
      <c r="E34" s="11">
        <v>11234.35</v>
      </c>
      <c r="F34" s="17">
        <v>2.58E8</v>
      </c>
      <c r="G34" s="11">
        <v>15116.69</v>
      </c>
    </row>
    <row r="35">
      <c r="A35" s="7">
        <v>43364.0</v>
      </c>
      <c r="B35" s="11">
        <v>11271.3</v>
      </c>
      <c r="C35" s="11">
        <v>11346.8</v>
      </c>
      <c r="D35" s="11">
        <v>10866.45</v>
      </c>
      <c r="E35" s="11">
        <v>11143.1</v>
      </c>
      <c r="F35" s="17">
        <v>7.41E8</v>
      </c>
      <c r="G35" s="11">
        <v>35131.19</v>
      </c>
    </row>
    <row r="36">
      <c r="A36" s="7">
        <v>43367.0</v>
      </c>
      <c r="B36" s="11">
        <v>11164.4</v>
      </c>
      <c r="C36" s="11">
        <v>11170.15</v>
      </c>
      <c r="D36" s="11">
        <v>10943.6</v>
      </c>
      <c r="E36" s="11">
        <v>10967.4</v>
      </c>
      <c r="F36" s="17">
        <v>3.99E8</v>
      </c>
      <c r="G36" s="11">
        <v>23023.34</v>
      </c>
    </row>
    <row r="37">
      <c r="A37" s="7">
        <v>43368.0</v>
      </c>
      <c r="B37" s="11">
        <v>10969.95</v>
      </c>
      <c r="C37" s="11">
        <v>11080.6</v>
      </c>
      <c r="D37" s="11">
        <v>10882.85</v>
      </c>
      <c r="E37" s="11">
        <v>11067.45</v>
      </c>
      <c r="F37" s="17">
        <v>4.18E8</v>
      </c>
      <c r="G37" s="11">
        <v>22878.57</v>
      </c>
    </row>
    <row r="38">
      <c r="A38" s="7">
        <v>43369.0</v>
      </c>
      <c r="B38" s="11">
        <v>11145.55</v>
      </c>
      <c r="C38" s="11">
        <v>11145.55</v>
      </c>
      <c r="D38" s="11">
        <v>10993.05</v>
      </c>
      <c r="E38" s="11">
        <v>11053.8</v>
      </c>
      <c r="F38" s="17">
        <v>3.51E8</v>
      </c>
      <c r="G38" s="11">
        <v>17803.68</v>
      </c>
    </row>
    <row r="39">
      <c r="A39" s="7">
        <v>43370.0</v>
      </c>
      <c r="B39" s="11">
        <v>11079.8</v>
      </c>
      <c r="C39" s="11">
        <v>11089.45</v>
      </c>
      <c r="D39" s="11">
        <v>10953.35</v>
      </c>
      <c r="E39" s="11">
        <v>10977.55</v>
      </c>
      <c r="F39" s="17">
        <v>4.18E8</v>
      </c>
      <c r="G39" s="11">
        <v>22582.86</v>
      </c>
    </row>
    <row r="40">
      <c r="A40" s="7">
        <v>43371.0</v>
      </c>
      <c r="B40" s="11">
        <v>11008.1</v>
      </c>
      <c r="C40" s="11">
        <v>11034.1</v>
      </c>
      <c r="D40" s="11">
        <v>10850.3</v>
      </c>
      <c r="E40" s="11">
        <v>10930.45</v>
      </c>
      <c r="F40" s="17">
        <v>4.93E8</v>
      </c>
      <c r="G40" s="11">
        <v>23227.86</v>
      </c>
    </row>
    <row r="41">
      <c r="A41" s="7">
        <v>43374.0</v>
      </c>
      <c r="B41" s="11">
        <v>10930.9</v>
      </c>
      <c r="C41" s="11">
        <v>11035.65</v>
      </c>
      <c r="D41" s="11">
        <v>10821.55</v>
      </c>
      <c r="E41" s="11">
        <v>11008.3</v>
      </c>
      <c r="F41" s="17">
        <v>3.99E8</v>
      </c>
      <c r="G41" s="11">
        <v>20391.72</v>
      </c>
    </row>
    <row r="42">
      <c r="A42" s="7">
        <v>43376.0</v>
      </c>
      <c r="B42" s="11">
        <v>10982.7</v>
      </c>
      <c r="C42" s="11">
        <v>10989.05</v>
      </c>
      <c r="D42" s="11">
        <v>10843.75</v>
      </c>
      <c r="E42" s="11">
        <v>10858.25</v>
      </c>
      <c r="F42" s="17">
        <v>3.99E8</v>
      </c>
      <c r="G42" s="11">
        <v>21225.59</v>
      </c>
    </row>
    <row r="43">
      <c r="A43" s="7">
        <v>43377.0</v>
      </c>
      <c r="B43" s="11">
        <v>10754.7</v>
      </c>
      <c r="C43" s="11">
        <v>10754.7</v>
      </c>
      <c r="D43" s="11">
        <v>10547.25</v>
      </c>
      <c r="E43" s="11">
        <v>10599.25</v>
      </c>
      <c r="F43" s="17">
        <v>4.38E8</v>
      </c>
      <c r="G43" s="11">
        <v>23711.57</v>
      </c>
    </row>
    <row r="44">
      <c r="A44" s="7">
        <v>43378.0</v>
      </c>
      <c r="B44" s="11">
        <v>10514.1</v>
      </c>
      <c r="C44" s="11">
        <v>10540.65</v>
      </c>
      <c r="D44" s="11">
        <v>10261.9</v>
      </c>
      <c r="E44" s="11">
        <v>10316.45</v>
      </c>
      <c r="F44" s="17">
        <v>6.25E8</v>
      </c>
      <c r="G44" s="11">
        <v>25254.21</v>
      </c>
    </row>
    <row r="45">
      <c r="A45" s="7">
        <v>43381.0</v>
      </c>
      <c r="B45" s="11">
        <v>10310.15</v>
      </c>
      <c r="C45" s="11">
        <v>10398.35</v>
      </c>
      <c r="D45" s="11">
        <v>10198.4</v>
      </c>
      <c r="E45" s="11">
        <v>10348.05</v>
      </c>
      <c r="F45" s="17">
        <v>4.7E8</v>
      </c>
      <c r="G45" s="11">
        <v>22130.94</v>
      </c>
    </row>
    <row r="46">
      <c r="A46" s="7">
        <v>43382.0</v>
      </c>
      <c r="B46" s="11">
        <v>10390.3</v>
      </c>
      <c r="C46" s="11">
        <v>10397.6</v>
      </c>
      <c r="D46" s="11">
        <v>10279.35</v>
      </c>
      <c r="E46" s="11">
        <v>10301.05</v>
      </c>
      <c r="F46" s="17">
        <v>4.44E8</v>
      </c>
      <c r="G46" s="11">
        <v>18285.41</v>
      </c>
    </row>
    <row r="47">
      <c r="A47" s="7">
        <v>43383.0</v>
      </c>
      <c r="B47" s="11">
        <v>10331.85</v>
      </c>
      <c r="C47" s="11">
        <v>10482.35</v>
      </c>
      <c r="D47" s="11">
        <v>10318.25</v>
      </c>
      <c r="E47" s="11">
        <v>10460.1</v>
      </c>
      <c r="F47" s="17">
        <v>3.74E8</v>
      </c>
      <c r="G47" s="11">
        <v>19592.59</v>
      </c>
    </row>
    <row r="48">
      <c r="A48" s="7">
        <v>43384.0</v>
      </c>
      <c r="B48" s="11">
        <v>10169.8</v>
      </c>
      <c r="C48" s="11">
        <v>10335.95</v>
      </c>
      <c r="D48" s="11">
        <v>10138.6</v>
      </c>
      <c r="E48" s="11">
        <v>10234.65</v>
      </c>
      <c r="F48" s="17">
        <v>4.99E8</v>
      </c>
      <c r="G48" s="11">
        <v>21907.13</v>
      </c>
    </row>
    <row r="49">
      <c r="A49" s="7">
        <v>43385.0</v>
      </c>
      <c r="B49" s="11">
        <v>10331.55</v>
      </c>
      <c r="C49" s="11">
        <v>10492.45</v>
      </c>
      <c r="D49" s="11">
        <v>10322.15</v>
      </c>
      <c r="E49" s="11">
        <v>10472.5</v>
      </c>
      <c r="F49" s="17">
        <v>3.54E8</v>
      </c>
      <c r="G49" s="11">
        <v>18606.04</v>
      </c>
    </row>
    <row r="50">
      <c r="A50" s="7">
        <v>43388.0</v>
      </c>
      <c r="B50" s="11">
        <v>10524.2</v>
      </c>
      <c r="C50" s="11">
        <v>10526.3</v>
      </c>
      <c r="D50" s="11">
        <v>10410.15</v>
      </c>
      <c r="E50" s="11">
        <v>10512.5</v>
      </c>
      <c r="F50" s="17">
        <v>2.68E8</v>
      </c>
      <c r="G50" s="11">
        <v>14372.15</v>
      </c>
    </row>
    <row r="51">
      <c r="A51" s="7">
        <v>43389.0</v>
      </c>
      <c r="B51" s="11">
        <v>10550.15</v>
      </c>
      <c r="C51" s="11">
        <v>10604.9</v>
      </c>
      <c r="D51" s="11">
        <v>10525.3</v>
      </c>
      <c r="E51" s="11">
        <v>10584.75</v>
      </c>
      <c r="F51" s="17">
        <v>2.73E8</v>
      </c>
      <c r="G51" s="11">
        <v>15453.03</v>
      </c>
    </row>
    <row r="52">
      <c r="A52" s="7">
        <v>43390.0</v>
      </c>
      <c r="B52" s="11">
        <v>10688.7</v>
      </c>
      <c r="C52" s="11">
        <v>10710.15</v>
      </c>
      <c r="D52" s="11">
        <v>10436.45</v>
      </c>
      <c r="E52" s="11">
        <v>10453.05</v>
      </c>
      <c r="F52" s="17">
        <v>2.94E8</v>
      </c>
      <c r="G52" s="11">
        <v>17173.14</v>
      </c>
    </row>
    <row r="53">
      <c r="A53" s="7">
        <v>43392.0</v>
      </c>
      <c r="B53" s="11">
        <v>10339.7</v>
      </c>
      <c r="C53" s="11">
        <v>10380.1</v>
      </c>
      <c r="D53" s="11">
        <v>10249.6</v>
      </c>
      <c r="E53" s="11">
        <v>10303.55</v>
      </c>
      <c r="F53" s="17">
        <v>3.69E8</v>
      </c>
      <c r="G53" s="11">
        <v>20505.66</v>
      </c>
    </row>
    <row r="54">
      <c r="A54" s="7">
        <v>43395.0</v>
      </c>
      <c r="B54" s="11">
        <v>10405.85</v>
      </c>
      <c r="C54" s="11">
        <v>10408.55</v>
      </c>
      <c r="D54" s="11">
        <v>10224.0</v>
      </c>
      <c r="E54" s="11">
        <v>10245.25</v>
      </c>
      <c r="F54" s="17">
        <v>3.06E8</v>
      </c>
      <c r="G54" s="11">
        <v>17241.94</v>
      </c>
    </row>
    <row r="55">
      <c r="A55" s="7">
        <v>43396.0</v>
      </c>
      <c r="B55" s="11">
        <v>10152.6</v>
      </c>
      <c r="C55" s="11">
        <v>10222.1</v>
      </c>
      <c r="D55" s="11">
        <v>10102.35</v>
      </c>
      <c r="E55" s="11">
        <v>10146.8</v>
      </c>
      <c r="F55" s="17">
        <v>3.12E8</v>
      </c>
      <c r="G55" s="11">
        <v>18114.71</v>
      </c>
    </row>
    <row r="56">
      <c r="A56" s="7">
        <v>43397.0</v>
      </c>
      <c r="B56" s="11">
        <v>10278.15</v>
      </c>
      <c r="C56" s="11">
        <v>10290.65</v>
      </c>
      <c r="D56" s="11">
        <v>10126.7</v>
      </c>
      <c r="E56" s="11">
        <v>10224.75</v>
      </c>
      <c r="F56" s="17">
        <v>3.62E8</v>
      </c>
      <c r="G56" s="11">
        <v>19413.24</v>
      </c>
    </row>
    <row r="57">
      <c r="A57" s="7">
        <v>43398.0</v>
      </c>
      <c r="B57" s="11">
        <v>10135.05</v>
      </c>
      <c r="C57" s="11">
        <v>10166.6</v>
      </c>
      <c r="D57" s="11">
        <v>10079.3</v>
      </c>
      <c r="E57" s="11">
        <v>10124.9</v>
      </c>
      <c r="F57" s="17">
        <v>5.22E8</v>
      </c>
      <c r="G57" s="11">
        <v>23503.76</v>
      </c>
    </row>
    <row r="58">
      <c r="A58" s="7">
        <v>43399.0</v>
      </c>
      <c r="B58" s="11">
        <v>10122.35</v>
      </c>
      <c r="C58" s="11">
        <v>10128.85</v>
      </c>
      <c r="D58" s="11">
        <v>10004.55</v>
      </c>
      <c r="E58" s="11">
        <v>10030.0</v>
      </c>
      <c r="F58" s="17">
        <v>3.76E8</v>
      </c>
      <c r="G58" s="11">
        <v>16120.14</v>
      </c>
    </row>
    <row r="59">
      <c r="A59" s="7">
        <v>43402.0</v>
      </c>
      <c r="B59" s="11">
        <v>10078.1</v>
      </c>
      <c r="C59" s="11">
        <v>10275.3</v>
      </c>
      <c r="D59" s="11">
        <v>10020.35</v>
      </c>
      <c r="E59" s="11">
        <v>10250.85</v>
      </c>
      <c r="F59" s="17">
        <v>3.76E8</v>
      </c>
      <c r="G59" s="11">
        <v>17514.85</v>
      </c>
    </row>
    <row r="60">
      <c r="A60" s="7">
        <v>43403.0</v>
      </c>
      <c r="B60" s="11">
        <v>10239.4</v>
      </c>
      <c r="C60" s="11">
        <v>10285.1</v>
      </c>
      <c r="D60" s="11">
        <v>10175.35</v>
      </c>
      <c r="E60" s="11">
        <v>10198.4</v>
      </c>
      <c r="F60" s="17">
        <v>2.99E8</v>
      </c>
      <c r="G60" s="11">
        <v>14789.51</v>
      </c>
    </row>
    <row r="61">
      <c r="A61" s="7">
        <v>43404.0</v>
      </c>
      <c r="B61" s="11">
        <v>10209.55</v>
      </c>
      <c r="C61" s="11">
        <v>10396.0</v>
      </c>
      <c r="D61" s="11">
        <v>10105.1</v>
      </c>
      <c r="E61" s="11">
        <v>10386.6</v>
      </c>
      <c r="F61" s="17">
        <v>3.87E8</v>
      </c>
      <c r="G61" s="11">
        <v>21513.85</v>
      </c>
    </row>
    <row r="62">
      <c r="A62" s="7">
        <v>43405.0</v>
      </c>
      <c r="B62" s="11">
        <v>10441.7</v>
      </c>
      <c r="C62" s="11">
        <v>10441.9</v>
      </c>
      <c r="D62" s="11">
        <v>10341.9</v>
      </c>
      <c r="E62" s="11">
        <v>10380.45</v>
      </c>
      <c r="F62" s="17">
        <v>3.59E8</v>
      </c>
      <c r="G62" s="11">
        <v>18111.88</v>
      </c>
    </row>
    <row r="63">
      <c r="A63" s="7">
        <v>43406.0</v>
      </c>
      <c r="B63" s="11">
        <v>10462.3</v>
      </c>
      <c r="C63" s="11">
        <v>10606.95</v>
      </c>
      <c r="D63" s="11">
        <v>10457.7</v>
      </c>
      <c r="E63" s="11">
        <v>10553.0</v>
      </c>
      <c r="F63" s="17">
        <v>4.34E8</v>
      </c>
      <c r="G63" s="11">
        <v>21758.8</v>
      </c>
    </row>
    <row r="64">
      <c r="A64" s="7">
        <v>43409.0</v>
      </c>
      <c r="B64" s="11">
        <v>10558.75</v>
      </c>
      <c r="C64" s="11">
        <v>10558.8</v>
      </c>
      <c r="D64" s="11">
        <v>10477.0</v>
      </c>
      <c r="E64" s="11">
        <v>10524.0</v>
      </c>
      <c r="F64" s="17">
        <v>3.11E8</v>
      </c>
      <c r="G64" s="11">
        <v>14761.17</v>
      </c>
    </row>
    <row r="65">
      <c r="A65" s="7">
        <v>43410.0</v>
      </c>
      <c r="B65" s="11">
        <v>10552.0</v>
      </c>
      <c r="C65" s="11">
        <v>10600.25</v>
      </c>
      <c r="D65" s="11">
        <v>10491.45</v>
      </c>
      <c r="E65" s="11">
        <v>10530.0</v>
      </c>
      <c r="F65" s="17">
        <v>3.1E8</v>
      </c>
      <c r="G65" s="11">
        <v>14006.19</v>
      </c>
    </row>
    <row r="66">
      <c r="A66" s="7">
        <v>43411.0</v>
      </c>
      <c r="B66" s="11">
        <v>10614.45</v>
      </c>
      <c r="C66" s="11">
        <v>10616.45</v>
      </c>
      <c r="D66" s="11">
        <v>10582.3</v>
      </c>
      <c r="E66" s="11">
        <v>10598.4</v>
      </c>
      <c r="F66" s="11">
        <v>3.2194181E7</v>
      </c>
      <c r="G66" s="11">
        <v>1534.08</v>
      </c>
    </row>
    <row r="67">
      <c r="A67" s="7">
        <v>43413.0</v>
      </c>
      <c r="B67" s="11">
        <v>10614.7</v>
      </c>
      <c r="C67" s="11">
        <v>10619.55</v>
      </c>
      <c r="D67" s="11">
        <v>10544.85</v>
      </c>
      <c r="E67" s="11">
        <v>10585.2</v>
      </c>
      <c r="F67" s="17">
        <v>3.06E8</v>
      </c>
      <c r="G67" s="11">
        <v>15294.83</v>
      </c>
    </row>
    <row r="68">
      <c r="A68" s="7">
        <v>43416.0</v>
      </c>
      <c r="B68" s="11">
        <v>10607.8</v>
      </c>
      <c r="C68" s="11">
        <v>10645.5</v>
      </c>
      <c r="D68" s="11">
        <v>10464.05</v>
      </c>
      <c r="E68" s="11">
        <v>10482.2</v>
      </c>
      <c r="F68" s="17">
        <v>2.68E8</v>
      </c>
      <c r="G68" s="11">
        <v>13445.33</v>
      </c>
    </row>
    <row r="69">
      <c r="A69" s="7">
        <v>43417.0</v>
      </c>
      <c r="B69" s="11">
        <v>10451.9</v>
      </c>
      <c r="C69" s="11">
        <v>10596.25</v>
      </c>
      <c r="D69" s="11">
        <v>10440.55</v>
      </c>
      <c r="E69" s="11">
        <v>10582.5</v>
      </c>
      <c r="F69" s="17">
        <v>2.63E8</v>
      </c>
      <c r="G69" s="11">
        <v>13078.98</v>
      </c>
    </row>
    <row r="70">
      <c r="A70" s="7">
        <v>43418.0</v>
      </c>
      <c r="B70" s="11">
        <v>10634.9</v>
      </c>
      <c r="C70" s="11">
        <v>10651.6</v>
      </c>
      <c r="D70" s="11">
        <v>10532.7</v>
      </c>
      <c r="E70" s="11">
        <v>10576.3</v>
      </c>
      <c r="F70" s="17">
        <v>3.96E8</v>
      </c>
      <c r="G70" s="11">
        <v>19374.89</v>
      </c>
    </row>
    <row r="71">
      <c r="A71" s="7">
        <v>43419.0</v>
      </c>
      <c r="B71" s="11">
        <v>10580.6</v>
      </c>
      <c r="C71" s="11">
        <v>10646.5</v>
      </c>
      <c r="D71" s="11">
        <v>10557.5</v>
      </c>
      <c r="E71" s="11">
        <v>10616.7</v>
      </c>
      <c r="F71" s="17">
        <v>3.06E8</v>
      </c>
      <c r="G71" s="11">
        <v>14937.67</v>
      </c>
    </row>
    <row r="72">
      <c r="A72" s="7">
        <v>43420.0</v>
      </c>
      <c r="B72" s="11">
        <v>10644.0</v>
      </c>
      <c r="C72" s="11">
        <v>10695.15</v>
      </c>
      <c r="D72" s="11">
        <v>10631.15</v>
      </c>
      <c r="E72" s="11">
        <v>10682.2</v>
      </c>
      <c r="F72" s="17">
        <v>3.53E8</v>
      </c>
      <c r="G72" s="11">
        <v>16728.88</v>
      </c>
    </row>
    <row r="73">
      <c r="A73" s="7">
        <v>43423.0</v>
      </c>
      <c r="B73" s="11">
        <v>10731.25</v>
      </c>
      <c r="C73" s="11">
        <v>10774.7</v>
      </c>
      <c r="D73" s="11">
        <v>10688.8</v>
      </c>
      <c r="E73" s="11">
        <v>10763.4</v>
      </c>
      <c r="F73" s="17">
        <v>2.81E8</v>
      </c>
      <c r="G73" s="11">
        <v>13540.9</v>
      </c>
    </row>
    <row r="74">
      <c r="A74" s="7">
        <v>43424.0</v>
      </c>
      <c r="B74" s="11">
        <v>10740.1</v>
      </c>
      <c r="C74" s="11">
        <v>10740.85</v>
      </c>
      <c r="D74" s="11">
        <v>10640.85</v>
      </c>
      <c r="E74" s="11">
        <v>10656.2</v>
      </c>
      <c r="F74" s="17">
        <v>3.04E8</v>
      </c>
      <c r="G74" s="11">
        <v>13077.24</v>
      </c>
    </row>
    <row r="75">
      <c r="A75" s="7">
        <v>43425.0</v>
      </c>
      <c r="B75" s="11">
        <v>10670.95</v>
      </c>
      <c r="C75" s="11">
        <v>10671.3</v>
      </c>
      <c r="D75" s="11">
        <v>10562.35</v>
      </c>
      <c r="E75" s="11">
        <v>10600.05</v>
      </c>
      <c r="F75" s="17">
        <v>3.1E8</v>
      </c>
      <c r="G75" s="11">
        <v>15382.32</v>
      </c>
    </row>
    <row r="76">
      <c r="A76" s="7">
        <v>43426.0</v>
      </c>
      <c r="B76" s="11">
        <v>10612.65</v>
      </c>
      <c r="C76" s="11">
        <v>10646.25</v>
      </c>
      <c r="D76" s="11">
        <v>10512.0</v>
      </c>
      <c r="E76" s="11">
        <v>10526.75</v>
      </c>
      <c r="F76" s="17">
        <v>2.47E8</v>
      </c>
      <c r="G76" s="11">
        <v>12254.36</v>
      </c>
    </row>
    <row r="77">
      <c r="A77" s="7">
        <v>43430.0</v>
      </c>
      <c r="B77" s="11">
        <v>10568.3</v>
      </c>
      <c r="C77" s="11">
        <v>10637.8</v>
      </c>
      <c r="D77" s="11">
        <v>10489.75</v>
      </c>
      <c r="E77" s="11">
        <v>10628.6</v>
      </c>
      <c r="F77" s="17">
        <v>3.33E8</v>
      </c>
      <c r="G77" s="11">
        <v>15927.25</v>
      </c>
    </row>
    <row r="78">
      <c r="A78" s="7">
        <v>43431.0</v>
      </c>
      <c r="B78" s="11">
        <v>10621.45</v>
      </c>
      <c r="C78" s="11">
        <v>10695.15</v>
      </c>
      <c r="D78" s="11">
        <v>10596.35</v>
      </c>
      <c r="E78" s="11">
        <v>10685.6</v>
      </c>
      <c r="F78" s="17">
        <v>3.83E8</v>
      </c>
      <c r="G78" s="11">
        <v>17296.28</v>
      </c>
    </row>
    <row r="79">
      <c r="A79" s="7">
        <v>43432.0</v>
      </c>
      <c r="B79" s="11">
        <v>10708.75</v>
      </c>
      <c r="C79" s="11">
        <v>10757.8</v>
      </c>
      <c r="D79" s="11">
        <v>10699.85</v>
      </c>
      <c r="E79" s="11">
        <v>10728.85</v>
      </c>
      <c r="F79" s="17">
        <v>4.38E8</v>
      </c>
      <c r="G79" s="11">
        <v>17737.28</v>
      </c>
    </row>
    <row r="80">
      <c r="A80" s="7">
        <v>43433.0</v>
      </c>
      <c r="B80" s="11">
        <v>10808.7</v>
      </c>
      <c r="C80" s="11">
        <v>10883.05</v>
      </c>
      <c r="D80" s="11">
        <v>10782.35</v>
      </c>
      <c r="E80" s="11">
        <v>10858.7</v>
      </c>
      <c r="F80" s="17">
        <v>7.13E8</v>
      </c>
      <c r="G80" s="11">
        <v>26283.43</v>
      </c>
    </row>
    <row r="81">
      <c r="A81" s="7">
        <v>43434.0</v>
      </c>
      <c r="B81" s="11">
        <v>10892.1</v>
      </c>
      <c r="C81" s="11">
        <v>10922.45</v>
      </c>
      <c r="D81" s="11">
        <v>10835.1</v>
      </c>
      <c r="E81" s="11">
        <v>10876.75</v>
      </c>
      <c r="F81" s="17">
        <v>4.68E8</v>
      </c>
      <c r="G81" s="11">
        <v>19964.33</v>
      </c>
    </row>
    <row r="82">
      <c r="A82" s="7">
        <v>43437.0</v>
      </c>
      <c r="B82" s="11">
        <v>10930.7</v>
      </c>
      <c r="C82" s="11">
        <v>10941.2</v>
      </c>
      <c r="D82" s="11">
        <v>10845.35</v>
      </c>
      <c r="E82" s="11">
        <v>10883.75</v>
      </c>
      <c r="F82" s="17">
        <v>4.22E8</v>
      </c>
      <c r="G82" s="11">
        <v>18484.91</v>
      </c>
    </row>
    <row r="83">
      <c r="A83" s="7">
        <v>43438.0</v>
      </c>
      <c r="B83" s="11">
        <v>10877.1</v>
      </c>
      <c r="C83" s="11">
        <v>10890.95</v>
      </c>
      <c r="D83" s="11">
        <v>10833.35</v>
      </c>
      <c r="E83" s="11">
        <v>10869.5</v>
      </c>
      <c r="F83" s="17">
        <v>3.32E8</v>
      </c>
      <c r="G83" s="11">
        <v>15857.16</v>
      </c>
    </row>
    <row r="84">
      <c r="A84" s="7">
        <v>43439.0</v>
      </c>
      <c r="B84" s="11">
        <v>10820.45</v>
      </c>
      <c r="C84" s="11">
        <v>10821.05</v>
      </c>
      <c r="D84" s="11">
        <v>10747.95</v>
      </c>
      <c r="E84" s="11">
        <v>10782.9</v>
      </c>
      <c r="F84" s="17">
        <v>3.22E8</v>
      </c>
      <c r="G84" s="11">
        <v>15176.26</v>
      </c>
    </row>
    <row r="85">
      <c r="A85" s="7">
        <v>43440.0</v>
      </c>
      <c r="B85" s="11">
        <v>10718.15</v>
      </c>
      <c r="C85" s="11">
        <v>10722.65</v>
      </c>
      <c r="D85" s="11">
        <v>10588.25</v>
      </c>
      <c r="E85" s="11">
        <v>10601.15</v>
      </c>
      <c r="F85" s="17">
        <v>3.28E8</v>
      </c>
      <c r="G85" s="11">
        <v>16488.87</v>
      </c>
    </row>
    <row r="86">
      <c r="A86" s="7">
        <v>43441.0</v>
      </c>
      <c r="B86" s="11">
        <v>10644.8</v>
      </c>
      <c r="C86" s="11">
        <v>10704.55</v>
      </c>
      <c r="D86" s="11">
        <v>10599.35</v>
      </c>
      <c r="E86" s="11">
        <v>10693.7</v>
      </c>
      <c r="F86" s="17">
        <v>3.36E8</v>
      </c>
      <c r="G86" s="11">
        <v>18597.83</v>
      </c>
    </row>
    <row r="87">
      <c r="A87" s="7">
        <v>43444.0</v>
      </c>
      <c r="B87" s="11">
        <v>10508.7</v>
      </c>
      <c r="C87" s="11">
        <v>10558.85</v>
      </c>
      <c r="D87" s="11">
        <v>10474.95</v>
      </c>
      <c r="E87" s="11">
        <v>10488.45</v>
      </c>
      <c r="F87" s="17">
        <v>3.93E8</v>
      </c>
      <c r="G87" s="11">
        <v>16524.36</v>
      </c>
    </row>
    <row r="88">
      <c r="A88" s="7">
        <v>43445.0</v>
      </c>
      <c r="B88" s="11">
        <v>10350.05</v>
      </c>
      <c r="C88" s="11">
        <v>10567.15</v>
      </c>
      <c r="D88" s="11">
        <v>10333.85</v>
      </c>
      <c r="E88" s="11">
        <v>10549.15</v>
      </c>
      <c r="F88" s="17">
        <v>4.39E8</v>
      </c>
      <c r="G88" s="11">
        <v>20112.91</v>
      </c>
    </row>
    <row r="89">
      <c r="A89" s="7">
        <v>43446.0</v>
      </c>
      <c r="B89" s="11">
        <v>10591.0</v>
      </c>
      <c r="C89" s="11">
        <v>10752.2</v>
      </c>
      <c r="D89" s="11">
        <v>10560.8</v>
      </c>
      <c r="E89" s="11">
        <v>10737.6</v>
      </c>
      <c r="F89" s="17">
        <v>3.72E8</v>
      </c>
      <c r="G89" s="11">
        <v>17447.45</v>
      </c>
    </row>
    <row r="90">
      <c r="A90" s="7">
        <v>43447.0</v>
      </c>
      <c r="B90" s="11">
        <v>10810.75</v>
      </c>
      <c r="C90" s="11">
        <v>10838.6</v>
      </c>
      <c r="D90" s="11">
        <v>10749.5</v>
      </c>
      <c r="E90" s="11">
        <v>10791.55</v>
      </c>
      <c r="F90" s="17">
        <v>3.88E8</v>
      </c>
      <c r="G90" s="11">
        <v>17582.8</v>
      </c>
    </row>
    <row r="91">
      <c r="A91" s="7">
        <v>43448.0</v>
      </c>
      <c r="B91" s="11">
        <v>10784.5</v>
      </c>
      <c r="C91" s="11">
        <v>10815.75</v>
      </c>
      <c r="D91" s="11">
        <v>10752.1</v>
      </c>
      <c r="E91" s="11">
        <v>10805.45</v>
      </c>
      <c r="F91" s="17">
        <v>3.51E8</v>
      </c>
      <c r="G91" s="11">
        <v>14486.1</v>
      </c>
    </row>
    <row r="92">
      <c r="A92" s="7">
        <v>43451.0</v>
      </c>
      <c r="B92" s="11">
        <v>10853.2</v>
      </c>
      <c r="C92" s="11">
        <v>10900.35</v>
      </c>
      <c r="D92" s="11">
        <v>10844.85</v>
      </c>
      <c r="E92" s="11">
        <v>10888.35</v>
      </c>
      <c r="F92" s="17">
        <v>3.06E8</v>
      </c>
      <c r="G92" s="11">
        <v>12528.59</v>
      </c>
    </row>
    <row r="93">
      <c r="A93" s="7">
        <v>43452.0</v>
      </c>
      <c r="B93" s="11">
        <v>10850.9</v>
      </c>
      <c r="C93" s="11">
        <v>10915.4</v>
      </c>
      <c r="D93" s="11">
        <v>10819.1</v>
      </c>
      <c r="E93" s="11">
        <v>10908.7</v>
      </c>
      <c r="F93" s="17">
        <v>2.95E8</v>
      </c>
      <c r="G93" s="11">
        <v>13556.45</v>
      </c>
    </row>
    <row r="94">
      <c r="A94" s="7">
        <v>43453.0</v>
      </c>
      <c r="B94" s="11">
        <v>10930.55</v>
      </c>
      <c r="C94" s="11">
        <v>10985.15</v>
      </c>
      <c r="D94" s="11">
        <v>10928.0</v>
      </c>
      <c r="E94" s="11">
        <v>10967.3</v>
      </c>
      <c r="F94" s="17">
        <v>3.22E8</v>
      </c>
      <c r="G94" s="11">
        <v>17172.64</v>
      </c>
    </row>
    <row r="95">
      <c r="A95" s="7">
        <v>43454.0</v>
      </c>
      <c r="B95" s="11">
        <v>10885.2</v>
      </c>
      <c r="C95" s="11">
        <v>10962.55</v>
      </c>
      <c r="D95" s="11">
        <v>10880.05</v>
      </c>
      <c r="E95" s="11">
        <v>10951.7</v>
      </c>
      <c r="F95" s="17">
        <v>3.29E8</v>
      </c>
      <c r="G95" s="11">
        <v>14945.94</v>
      </c>
    </row>
    <row r="96">
      <c r="A96" s="7">
        <v>43455.0</v>
      </c>
      <c r="B96" s="11">
        <v>10944.25</v>
      </c>
      <c r="C96" s="11">
        <v>10963.65</v>
      </c>
      <c r="D96" s="11">
        <v>10738.65</v>
      </c>
      <c r="E96" s="11">
        <v>10754.0</v>
      </c>
      <c r="F96" s="17">
        <v>3.89E8</v>
      </c>
      <c r="G96" s="11">
        <v>18663.85</v>
      </c>
    </row>
    <row r="97">
      <c r="A97" s="7">
        <v>43458.0</v>
      </c>
      <c r="B97" s="11">
        <v>10780.9</v>
      </c>
      <c r="C97" s="11">
        <v>10782.3</v>
      </c>
      <c r="D97" s="11">
        <v>10649.25</v>
      </c>
      <c r="E97" s="11">
        <v>10663.5</v>
      </c>
      <c r="F97" s="17">
        <v>2.3E8</v>
      </c>
      <c r="G97" s="11">
        <v>10695.6</v>
      </c>
    </row>
    <row r="98">
      <c r="A98" s="7">
        <v>43460.0</v>
      </c>
      <c r="B98" s="11">
        <v>10635.45</v>
      </c>
      <c r="C98" s="11">
        <v>10747.5</v>
      </c>
      <c r="D98" s="11">
        <v>10534.55</v>
      </c>
      <c r="E98" s="11">
        <v>10729.85</v>
      </c>
      <c r="F98" s="17">
        <v>2.72E8</v>
      </c>
      <c r="G98" s="11">
        <v>12831.99</v>
      </c>
    </row>
    <row r="99">
      <c r="A99" s="7">
        <v>43461.0</v>
      </c>
      <c r="B99" s="11">
        <v>10817.9</v>
      </c>
      <c r="C99" s="11">
        <v>10834.2</v>
      </c>
      <c r="D99" s="11">
        <v>10764.45</v>
      </c>
      <c r="E99" s="11">
        <v>10779.8</v>
      </c>
      <c r="F99" s="17">
        <v>4.7E8</v>
      </c>
      <c r="G99" s="11">
        <v>19119.88</v>
      </c>
    </row>
    <row r="100">
      <c r="A100" s="7">
        <v>43462.0</v>
      </c>
      <c r="B100" s="11">
        <v>10820.95</v>
      </c>
      <c r="C100" s="11">
        <v>10893.6</v>
      </c>
      <c r="D100" s="11">
        <v>10817.15</v>
      </c>
      <c r="E100" s="11">
        <v>10859.9</v>
      </c>
      <c r="F100" s="17">
        <v>2.53E8</v>
      </c>
      <c r="G100" s="11">
        <v>12615.01</v>
      </c>
    </row>
    <row r="101">
      <c r="A101" s="7">
        <v>43465.0</v>
      </c>
      <c r="B101" s="11">
        <v>10913.2</v>
      </c>
      <c r="C101" s="11">
        <v>10923.55</v>
      </c>
      <c r="D101" s="11">
        <v>10853.2</v>
      </c>
      <c r="E101" s="11">
        <v>10862.55</v>
      </c>
      <c r="F101" s="17">
        <v>1.86E8</v>
      </c>
      <c r="G101" s="11">
        <v>10176.13</v>
      </c>
    </row>
    <row r="102">
      <c r="A102" s="7">
        <v>43466.0</v>
      </c>
      <c r="B102" s="11">
        <v>10881.7</v>
      </c>
      <c r="C102" s="11">
        <v>10923.6</v>
      </c>
      <c r="D102" s="11">
        <v>10807.1</v>
      </c>
      <c r="E102" s="11">
        <v>10910.1</v>
      </c>
      <c r="F102" s="17">
        <v>1.59E8</v>
      </c>
      <c r="G102" s="11">
        <v>8688.26</v>
      </c>
    </row>
    <row r="103">
      <c r="A103" s="7">
        <v>43467.0</v>
      </c>
      <c r="B103" s="11">
        <v>10868.85</v>
      </c>
      <c r="C103" s="11">
        <v>10895.35</v>
      </c>
      <c r="D103" s="11">
        <v>10735.05</v>
      </c>
      <c r="E103" s="11">
        <v>10792.5</v>
      </c>
      <c r="F103" s="17">
        <v>3.1E8</v>
      </c>
      <c r="G103" s="11">
        <v>15352.25</v>
      </c>
    </row>
    <row r="104">
      <c r="A104" s="7">
        <v>43468.0</v>
      </c>
      <c r="B104" s="11">
        <v>10796.8</v>
      </c>
      <c r="C104" s="11">
        <v>10814.05</v>
      </c>
      <c r="D104" s="11">
        <v>10661.25</v>
      </c>
      <c r="E104" s="11">
        <v>10672.25</v>
      </c>
      <c r="F104" s="17">
        <v>2.86E8</v>
      </c>
      <c r="G104" s="11">
        <v>15030.45</v>
      </c>
    </row>
    <row r="105">
      <c r="A105" s="7">
        <v>43469.0</v>
      </c>
      <c r="B105" s="11">
        <v>10699.7</v>
      </c>
      <c r="C105" s="11">
        <v>10741.05</v>
      </c>
      <c r="D105" s="11">
        <v>10628.65</v>
      </c>
      <c r="E105" s="11">
        <v>10727.35</v>
      </c>
      <c r="F105" s="17">
        <v>2.97E8</v>
      </c>
      <c r="G105" s="11">
        <v>14516.74</v>
      </c>
    </row>
    <row r="106">
      <c r="A106" s="7">
        <v>43472.0</v>
      </c>
      <c r="B106" s="11">
        <v>10804.85</v>
      </c>
      <c r="C106" s="11">
        <v>10835.95</v>
      </c>
      <c r="D106" s="11">
        <v>10750.15</v>
      </c>
      <c r="E106" s="11">
        <v>10771.8</v>
      </c>
      <c r="F106" s="17">
        <v>2.69E8</v>
      </c>
      <c r="G106" s="11">
        <v>12731.29</v>
      </c>
    </row>
    <row r="107">
      <c r="A107" s="7">
        <v>43473.0</v>
      </c>
      <c r="B107" s="11">
        <v>10786.25</v>
      </c>
      <c r="C107" s="11">
        <v>10818.45</v>
      </c>
      <c r="D107" s="11">
        <v>10733.25</v>
      </c>
      <c r="E107" s="11">
        <v>10802.15</v>
      </c>
      <c r="F107" s="17">
        <v>2.78E8</v>
      </c>
      <c r="G107" s="11">
        <v>13433.48</v>
      </c>
    </row>
    <row r="108">
      <c r="A108" s="7">
        <v>43474.0</v>
      </c>
      <c r="B108" s="11">
        <v>10862.4</v>
      </c>
      <c r="C108" s="11">
        <v>10870.4</v>
      </c>
      <c r="D108" s="11">
        <v>10749.4</v>
      </c>
      <c r="E108" s="11">
        <v>10855.15</v>
      </c>
      <c r="F108" s="17">
        <v>3.33E8</v>
      </c>
      <c r="G108" s="11">
        <v>16213.3</v>
      </c>
    </row>
    <row r="109">
      <c r="A109" s="7">
        <v>43475.0</v>
      </c>
      <c r="B109" s="11">
        <v>10859.35</v>
      </c>
      <c r="C109" s="11">
        <v>10859.35</v>
      </c>
      <c r="D109" s="11">
        <v>10801.8</v>
      </c>
      <c r="E109" s="11">
        <v>10821.6</v>
      </c>
      <c r="F109" s="17">
        <v>2.54E8</v>
      </c>
      <c r="G109" s="11">
        <v>12031.26</v>
      </c>
    </row>
    <row r="110">
      <c r="A110" s="7">
        <v>43476.0</v>
      </c>
      <c r="B110" s="11">
        <v>10834.75</v>
      </c>
      <c r="C110" s="11">
        <v>10850.15</v>
      </c>
      <c r="D110" s="11">
        <v>10739.4</v>
      </c>
      <c r="E110" s="11">
        <v>10794.95</v>
      </c>
      <c r="F110" s="17">
        <v>2.61E8</v>
      </c>
      <c r="G110" s="11">
        <v>13084.6</v>
      </c>
    </row>
    <row r="111">
      <c r="A111" s="7">
        <v>43479.0</v>
      </c>
      <c r="B111" s="11">
        <v>10807.0</v>
      </c>
      <c r="C111" s="11">
        <v>10808.0</v>
      </c>
      <c r="D111" s="11">
        <v>10692.35</v>
      </c>
      <c r="E111" s="11">
        <v>10737.6</v>
      </c>
      <c r="F111" s="17">
        <v>2.99E8</v>
      </c>
      <c r="G111" s="11">
        <v>12732.57</v>
      </c>
    </row>
    <row r="112">
      <c r="A112" s="7">
        <v>43480.0</v>
      </c>
      <c r="B112" s="11">
        <v>10777.55</v>
      </c>
      <c r="C112" s="11">
        <v>10896.95</v>
      </c>
      <c r="D112" s="11">
        <v>10777.55</v>
      </c>
      <c r="E112" s="11">
        <v>10886.8</v>
      </c>
      <c r="F112" s="17">
        <v>3.11E8</v>
      </c>
      <c r="G112" s="11">
        <v>14879.91</v>
      </c>
    </row>
    <row r="113">
      <c r="A113" s="7">
        <v>43481.0</v>
      </c>
      <c r="B113" s="11">
        <v>10899.65</v>
      </c>
      <c r="C113" s="11">
        <v>10928.15</v>
      </c>
      <c r="D113" s="11">
        <v>10876.9</v>
      </c>
      <c r="E113" s="11">
        <v>10890.3</v>
      </c>
      <c r="F113" s="17">
        <v>2.77E8</v>
      </c>
      <c r="G113" s="11">
        <v>13081.63</v>
      </c>
    </row>
    <row r="114">
      <c r="A114" s="7">
        <v>43482.0</v>
      </c>
      <c r="B114" s="11">
        <v>10920.85</v>
      </c>
      <c r="C114" s="11">
        <v>10930.65</v>
      </c>
      <c r="D114" s="11">
        <v>10844.65</v>
      </c>
      <c r="E114" s="11">
        <v>10905.2</v>
      </c>
      <c r="F114" s="17">
        <v>2.72E8</v>
      </c>
      <c r="G114" s="11">
        <v>13215.83</v>
      </c>
    </row>
    <row r="115">
      <c r="A115" s="7">
        <v>43483.0</v>
      </c>
      <c r="B115" s="11">
        <v>10914.85</v>
      </c>
      <c r="C115" s="11">
        <v>10928.2</v>
      </c>
      <c r="D115" s="11">
        <v>10852.2</v>
      </c>
      <c r="E115" s="11">
        <v>10906.95</v>
      </c>
      <c r="F115" s="17">
        <v>3.24E8</v>
      </c>
      <c r="G115" s="11">
        <v>16408.83</v>
      </c>
    </row>
    <row r="116">
      <c r="A116" s="7">
        <v>43486.0</v>
      </c>
      <c r="B116" s="11">
        <v>10919.35</v>
      </c>
      <c r="C116" s="11">
        <v>10987.45</v>
      </c>
      <c r="D116" s="11">
        <v>10885.75</v>
      </c>
      <c r="E116" s="11">
        <v>10961.85</v>
      </c>
      <c r="F116" s="17">
        <v>2.89E8</v>
      </c>
      <c r="G116" s="11">
        <v>17289.7</v>
      </c>
    </row>
    <row r="117">
      <c r="A117" s="7">
        <v>43487.0</v>
      </c>
      <c r="B117" s="11">
        <v>10949.8</v>
      </c>
      <c r="C117" s="11">
        <v>10949.8</v>
      </c>
      <c r="D117" s="11">
        <v>10864.15</v>
      </c>
      <c r="E117" s="11">
        <v>10922.75</v>
      </c>
      <c r="F117" s="17">
        <v>3.01E8</v>
      </c>
      <c r="G117" s="11">
        <v>17483.62</v>
      </c>
    </row>
    <row r="118">
      <c r="A118" s="7">
        <v>43488.0</v>
      </c>
      <c r="B118" s="11">
        <v>10931.05</v>
      </c>
      <c r="C118" s="11">
        <v>10944.8</v>
      </c>
      <c r="D118" s="11">
        <v>10811.95</v>
      </c>
      <c r="E118" s="11">
        <v>10831.5</v>
      </c>
      <c r="F118" s="17">
        <v>2.99E8</v>
      </c>
      <c r="G118" s="11">
        <v>14736.91</v>
      </c>
    </row>
    <row r="119">
      <c r="A119" s="7">
        <v>43489.0</v>
      </c>
      <c r="B119" s="11">
        <v>10844.05</v>
      </c>
      <c r="C119" s="11">
        <v>10866.6</v>
      </c>
      <c r="D119" s="11">
        <v>10798.65</v>
      </c>
      <c r="E119" s="11">
        <v>10849.8</v>
      </c>
      <c r="F119" s="17">
        <v>3.61E8</v>
      </c>
      <c r="G119" s="11">
        <v>15298.48</v>
      </c>
    </row>
    <row r="120">
      <c r="A120" s="7">
        <v>43490.0</v>
      </c>
      <c r="B120" s="11">
        <v>10859.75</v>
      </c>
      <c r="C120" s="11">
        <v>10931.7</v>
      </c>
      <c r="D120" s="11">
        <v>10756.45</v>
      </c>
      <c r="E120" s="11">
        <v>10780.55</v>
      </c>
      <c r="F120" s="17">
        <v>4.63E8</v>
      </c>
      <c r="G120" s="11">
        <v>20542.36</v>
      </c>
    </row>
    <row r="121">
      <c r="A121" s="7">
        <v>43493.0</v>
      </c>
      <c r="B121" s="11">
        <v>10792.45</v>
      </c>
      <c r="C121" s="11">
        <v>10804.45</v>
      </c>
      <c r="D121" s="11">
        <v>10630.95</v>
      </c>
      <c r="E121" s="11">
        <v>10661.55</v>
      </c>
      <c r="F121" s="17">
        <v>4.2E8</v>
      </c>
      <c r="G121" s="11">
        <v>21144.33</v>
      </c>
    </row>
    <row r="122">
      <c r="A122" s="7">
        <v>43494.0</v>
      </c>
      <c r="B122" s="11">
        <v>10653.7</v>
      </c>
      <c r="C122" s="11">
        <v>10690.35</v>
      </c>
      <c r="D122" s="11">
        <v>10583.65</v>
      </c>
      <c r="E122" s="11">
        <v>10652.2</v>
      </c>
      <c r="F122" s="17">
        <v>3.57E8</v>
      </c>
      <c r="G122" s="11">
        <v>18832.06</v>
      </c>
    </row>
    <row r="123">
      <c r="A123" s="7">
        <v>43495.0</v>
      </c>
      <c r="B123" s="11">
        <v>10702.25</v>
      </c>
      <c r="C123" s="11">
        <v>10710.2</v>
      </c>
      <c r="D123" s="11">
        <v>10612.85</v>
      </c>
      <c r="E123" s="11">
        <v>10651.8</v>
      </c>
      <c r="F123" s="17">
        <v>4.1E8</v>
      </c>
      <c r="G123" s="11">
        <v>21214.81</v>
      </c>
    </row>
    <row r="124">
      <c r="A124" s="7">
        <v>43496.0</v>
      </c>
      <c r="B124" s="11">
        <v>10690.55</v>
      </c>
      <c r="C124" s="11">
        <v>10838.05</v>
      </c>
      <c r="D124" s="11">
        <v>10678.55</v>
      </c>
      <c r="E124" s="11">
        <v>10830.95</v>
      </c>
      <c r="F124" s="17">
        <v>6.05E8</v>
      </c>
      <c r="G124" s="11">
        <v>27471.18</v>
      </c>
    </row>
    <row r="125">
      <c r="A125" s="7">
        <v>43497.0</v>
      </c>
      <c r="B125" s="11">
        <v>10851.35</v>
      </c>
      <c r="C125" s="11">
        <v>10983.45</v>
      </c>
      <c r="D125" s="11">
        <v>10813.45</v>
      </c>
      <c r="E125" s="11">
        <v>10893.65</v>
      </c>
      <c r="F125" s="17">
        <v>4.82E8</v>
      </c>
      <c r="G125" s="11">
        <v>23112.37</v>
      </c>
    </row>
    <row r="126">
      <c r="A126" s="7">
        <v>43500.0</v>
      </c>
      <c r="B126" s="11">
        <v>10876.75</v>
      </c>
      <c r="C126" s="11">
        <v>10927.9</v>
      </c>
      <c r="D126" s="11">
        <v>10814.15</v>
      </c>
      <c r="E126" s="11">
        <v>10912.25</v>
      </c>
      <c r="F126" s="17">
        <v>3.18E8</v>
      </c>
      <c r="G126" s="11">
        <v>15478.81</v>
      </c>
    </row>
    <row r="127">
      <c r="A127" s="7">
        <v>43501.0</v>
      </c>
      <c r="B127" s="11">
        <v>10908.65</v>
      </c>
      <c r="C127" s="11">
        <v>10956.7</v>
      </c>
      <c r="D127" s="11">
        <v>10886.7</v>
      </c>
      <c r="E127" s="11">
        <v>10934.35</v>
      </c>
      <c r="F127" s="17">
        <v>2.68E8</v>
      </c>
      <c r="G127" s="11">
        <v>13435.13</v>
      </c>
    </row>
    <row r="128">
      <c r="A128" s="7">
        <v>43502.0</v>
      </c>
      <c r="B128" s="11">
        <v>10965.1</v>
      </c>
      <c r="C128" s="11">
        <v>11072.6</v>
      </c>
      <c r="D128" s="11">
        <v>10962.7</v>
      </c>
      <c r="E128" s="11">
        <v>11062.45</v>
      </c>
      <c r="F128" s="17">
        <v>2.99E8</v>
      </c>
      <c r="G128" s="11">
        <v>15172.85</v>
      </c>
    </row>
    <row r="129">
      <c r="A129" s="7">
        <v>43503.0</v>
      </c>
      <c r="B129" s="11">
        <v>11070.45</v>
      </c>
      <c r="C129" s="11">
        <v>11118.1</v>
      </c>
      <c r="D129" s="11">
        <v>11043.6</v>
      </c>
      <c r="E129" s="11">
        <v>11069.4</v>
      </c>
      <c r="F129" s="17">
        <v>2.64E8</v>
      </c>
      <c r="G129" s="11">
        <v>13542.69</v>
      </c>
    </row>
    <row r="130">
      <c r="A130" s="7">
        <v>43504.0</v>
      </c>
      <c r="B130" s="11">
        <v>11023.5</v>
      </c>
      <c r="C130" s="11">
        <v>11041.2</v>
      </c>
      <c r="D130" s="11">
        <v>10925.45</v>
      </c>
      <c r="E130" s="11">
        <v>10943.6</v>
      </c>
      <c r="F130" s="17">
        <v>3.53E8</v>
      </c>
      <c r="G130" s="11">
        <v>15507.05</v>
      </c>
    </row>
    <row r="131">
      <c r="A131" s="7">
        <v>43507.0</v>
      </c>
      <c r="B131" s="11">
        <v>10930.9</v>
      </c>
      <c r="C131" s="11">
        <v>10930.9</v>
      </c>
      <c r="D131" s="11">
        <v>10857.1</v>
      </c>
      <c r="E131" s="11">
        <v>10888.8</v>
      </c>
      <c r="F131" s="17">
        <v>2.86E8</v>
      </c>
      <c r="G131" s="11">
        <v>13818.92</v>
      </c>
    </row>
    <row r="132">
      <c r="A132" s="7">
        <v>43508.0</v>
      </c>
      <c r="B132" s="11">
        <v>10879.7</v>
      </c>
      <c r="C132" s="11">
        <v>10910.9</v>
      </c>
      <c r="D132" s="11">
        <v>10823.8</v>
      </c>
      <c r="E132" s="11">
        <v>10831.4</v>
      </c>
      <c r="F132" s="17">
        <v>2.92E8</v>
      </c>
      <c r="G132" s="11">
        <v>14424.78</v>
      </c>
    </row>
    <row r="133">
      <c r="A133" s="7">
        <v>43509.0</v>
      </c>
      <c r="B133" s="11">
        <v>10870.55</v>
      </c>
      <c r="C133" s="11">
        <v>10891.65</v>
      </c>
      <c r="D133" s="11">
        <v>10772.1</v>
      </c>
      <c r="E133" s="11">
        <v>10793.65</v>
      </c>
      <c r="F133" s="17">
        <v>3.22E8</v>
      </c>
      <c r="G133" s="11">
        <v>15360.98</v>
      </c>
    </row>
    <row r="134">
      <c r="A134" s="7">
        <v>43510.0</v>
      </c>
      <c r="B134" s="11">
        <v>10786.1</v>
      </c>
      <c r="C134" s="11">
        <v>10792.7</v>
      </c>
      <c r="D134" s="11">
        <v>10718.75</v>
      </c>
      <c r="E134" s="11">
        <v>10746.05</v>
      </c>
      <c r="F134" s="17">
        <v>6.27E8</v>
      </c>
      <c r="G134" s="11">
        <v>20797.41</v>
      </c>
    </row>
    <row r="135">
      <c r="A135" s="7">
        <v>43511.0</v>
      </c>
      <c r="B135" s="11">
        <v>10780.25</v>
      </c>
      <c r="C135" s="11">
        <v>10785.75</v>
      </c>
      <c r="D135" s="11">
        <v>10620.4</v>
      </c>
      <c r="E135" s="11">
        <v>10724.4</v>
      </c>
      <c r="F135" s="17">
        <v>5.22E8</v>
      </c>
      <c r="G135" s="11">
        <v>20733.95</v>
      </c>
    </row>
    <row r="136">
      <c r="A136" s="7">
        <v>43514.0</v>
      </c>
      <c r="B136" s="11">
        <v>10738.65</v>
      </c>
      <c r="C136" s="11">
        <v>10759.9</v>
      </c>
      <c r="D136" s="11">
        <v>10628.4</v>
      </c>
      <c r="E136" s="11">
        <v>10640.95</v>
      </c>
      <c r="F136" s="17">
        <v>3.45E8</v>
      </c>
      <c r="G136" s="11">
        <v>14903.19</v>
      </c>
    </row>
    <row r="137">
      <c r="A137" s="7">
        <v>43515.0</v>
      </c>
      <c r="B137" s="11">
        <v>10636.7</v>
      </c>
      <c r="C137" s="11">
        <v>10722.85</v>
      </c>
      <c r="D137" s="11">
        <v>10585.65</v>
      </c>
      <c r="E137" s="11">
        <v>10604.35</v>
      </c>
      <c r="F137" s="17">
        <v>2.92E8</v>
      </c>
      <c r="G137" s="11">
        <v>13765.01</v>
      </c>
    </row>
    <row r="138">
      <c r="A138" s="7">
        <v>43516.0</v>
      </c>
      <c r="B138" s="11">
        <v>10655.45</v>
      </c>
      <c r="C138" s="11">
        <v>10752.7</v>
      </c>
      <c r="D138" s="11">
        <v>10646.4</v>
      </c>
      <c r="E138" s="11">
        <v>10735.45</v>
      </c>
      <c r="F138" s="17">
        <v>2.89E8</v>
      </c>
      <c r="G138" s="11">
        <v>13209.71</v>
      </c>
    </row>
    <row r="139">
      <c r="A139" s="7">
        <v>43517.0</v>
      </c>
      <c r="B139" s="11">
        <v>10744.1</v>
      </c>
      <c r="C139" s="11">
        <v>10808.85</v>
      </c>
      <c r="D139" s="11">
        <v>10721.5</v>
      </c>
      <c r="E139" s="11">
        <v>10789.85</v>
      </c>
      <c r="F139" s="17">
        <v>2.8E8</v>
      </c>
      <c r="G139" s="11">
        <v>14758.5</v>
      </c>
    </row>
    <row r="140">
      <c r="A140" s="7">
        <v>43518.0</v>
      </c>
      <c r="B140" s="11">
        <v>10782.7</v>
      </c>
      <c r="C140" s="11">
        <v>10801.55</v>
      </c>
      <c r="D140" s="11">
        <v>10758.4</v>
      </c>
      <c r="E140" s="11">
        <v>10791.65</v>
      </c>
      <c r="F140" s="17">
        <v>3.97E8</v>
      </c>
      <c r="G140" s="11">
        <v>24386.42</v>
      </c>
    </row>
    <row r="141">
      <c r="A141" s="7">
        <v>43521.0</v>
      </c>
      <c r="B141" s="11">
        <v>10813.25</v>
      </c>
      <c r="C141" s="11">
        <v>10887.1</v>
      </c>
      <c r="D141" s="11">
        <v>10788.05</v>
      </c>
      <c r="E141" s="11">
        <v>10880.1</v>
      </c>
      <c r="F141" s="17">
        <v>3.86E8</v>
      </c>
      <c r="G141" s="11">
        <v>16466.09</v>
      </c>
    </row>
    <row r="142">
      <c r="A142" s="7">
        <v>43522.0</v>
      </c>
      <c r="B142" s="11">
        <v>10775.3</v>
      </c>
      <c r="C142" s="11">
        <v>10888.75</v>
      </c>
      <c r="D142" s="11">
        <v>10729.3</v>
      </c>
      <c r="E142" s="11">
        <v>10835.3</v>
      </c>
      <c r="F142" s="17">
        <v>4.15E8</v>
      </c>
      <c r="G142" s="11">
        <v>19186.75</v>
      </c>
    </row>
    <row r="143">
      <c r="A143" s="7">
        <v>43523.0</v>
      </c>
      <c r="B143" s="11">
        <v>10881.2</v>
      </c>
      <c r="C143" s="11">
        <v>10939.7</v>
      </c>
      <c r="D143" s="11">
        <v>10751.2</v>
      </c>
      <c r="E143" s="11">
        <v>10806.65</v>
      </c>
      <c r="F143" s="17">
        <v>3.81E8</v>
      </c>
      <c r="G143" s="11">
        <v>18313.85</v>
      </c>
    </row>
    <row r="144">
      <c r="A144" s="7">
        <v>43524.0</v>
      </c>
      <c r="B144" s="11">
        <v>10865.7</v>
      </c>
      <c r="C144" s="11">
        <v>10865.7</v>
      </c>
      <c r="D144" s="11">
        <v>10784.85</v>
      </c>
      <c r="E144" s="11">
        <v>10792.5</v>
      </c>
      <c r="F144" s="17">
        <v>6.44E8</v>
      </c>
      <c r="G144" s="11">
        <v>27123.34</v>
      </c>
    </row>
    <row r="145">
      <c r="A145" s="7">
        <v>43525.0</v>
      </c>
      <c r="B145" s="11">
        <v>10842.65</v>
      </c>
      <c r="C145" s="11">
        <v>10877.9</v>
      </c>
      <c r="D145" s="11">
        <v>10823.1</v>
      </c>
      <c r="E145" s="11">
        <v>10863.5</v>
      </c>
      <c r="F145" s="17">
        <v>3.09E8</v>
      </c>
      <c r="G145" s="11">
        <v>15010.06</v>
      </c>
    </row>
    <row r="146">
      <c r="A146" s="7">
        <v>43529.0</v>
      </c>
      <c r="B146" s="11">
        <v>10864.85</v>
      </c>
      <c r="C146" s="11">
        <v>10994.9</v>
      </c>
      <c r="D146" s="11">
        <v>10817.0</v>
      </c>
      <c r="E146" s="11">
        <v>10987.45</v>
      </c>
      <c r="F146" s="17">
        <v>3.73E8</v>
      </c>
      <c r="G146" s="11">
        <v>17960.03</v>
      </c>
    </row>
    <row r="147">
      <c r="A147" s="7">
        <v>43530.0</v>
      </c>
      <c r="B147" s="11">
        <v>11024.85</v>
      </c>
      <c r="C147" s="11">
        <v>11062.3</v>
      </c>
      <c r="D147" s="11">
        <v>10998.85</v>
      </c>
      <c r="E147" s="11">
        <v>11053.0</v>
      </c>
      <c r="F147" s="17">
        <v>3.73E8</v>
      </c>
      <c r="G147" s="11">
        <v>17850.93</v>
      </c>
    </row>
    <row r="148">
      <c r="A148" s="7">
        <v>43531.0</v>
      </c>
      <c r="B148" s="11">
        <v>11077.95</v>
      </c>
      <c r="C148" s="11">
        <v>11089.05</v>
      </c>
      <c r="D148" s="11">
        <v>11027.1</v>
      </c>
      <c r="E148" s="11">
        <v>11058.2</v>
      </c>
      <c r="F148" s="17">
        <v>3.21E8</v>
      </c>
      <c r="G148" s="11">
        <v>15321.68</v>
      </c>
    </row>
    <row r="149">
      <c r="A149" s="7">
        <v>43532.0</v>
      </c>
      <c r="B149" s="11">
        <v>11038.85</v>
      </c>
      <c r="C149" s="11">
        <v>11049.0</v>
      </c>
      <c r="D149" s="11">
        <v>11008.95</v>
      </c>
      <c r="E149" s="11">
        <v>11035.4</v>
      </c>
      <c r="F149" s="17">
        <v>3.27E8</v>
      </c>
      <c r="G149" s="11">
        <v>14369.77</v>
      </c>
    </row>
    <row r="150">
      <c r="A150" s="7">
        <v>43535.0</v>
      </c>
      <c r="B150" s="11">
        <v>11068.75</v>
      </c>
      <c r="C150" s="11">
        <v>11180.9</v>
      </c>
      <c r="D150" s="11">
        <v>11059.85</v>
      </c>
      <c r="E150" s="11">
        <v>11168.05</v>
      </c>
      <c r="F150" s="17">
        <v>3.52E8</v>
      </c>
      <c r="G150" s="11">
        <v>17349.95</v>
      </c>
    </row>
    <row r="151">
      <c r="A151" s="7">
        <v>43536.0</v>
      </c>
      <c r="B151" s="11">
        <v>11231.35</v>
      </c>
      <c r="C151" s="11">
        <v>11320.4</v>
      </c>
      <c r="D151" s="11">
        <v>11227.0</v>
      </c>
      <c r="E151" s="11">
        <v>11301.2</v>
      </c>
      <c r="F151" s="17">
        <v>3.91E8</v>
      </c>
      <c r="G151" s="11">
        <v>20861.35</v>
      </c>
    </row>
    <row r="152">
      <c r="A152" s="7">
        <v>43537.0</v>
      </c>
      <c r="B152" s="11">
        <v>11326.2</v>
      </c>
      <c r="C152" s="11">
        <v>11352.3</v>
      </c>
      <c r="D152" s="11">
        <v>11276.6</v>
      </c>
      <c r="E152" s="11">
        <v>11341.7</v>
      </c>
      <c r="F152" s="17">
        <v>3.83E8</v>
      </c>
      <c r="G152" s="11">
        <v>20851.67</v>
      </c>
    </row>
    <row r="153">
      <c r="A153" s="7">
        <v>43538.0</v>
      </c>
      <c r="B153" s="11">
        <v>11382.5</v>
      </c>
      <c r="C153" s="11">
        <v>11383.45</v>
      </c>
      <c r="D153" s="11">
        <v>11313.75</v>
      </c>
      <c r="E153" s="11">
        <v>11343.25</v>
      </c>
      <c r="F153" s="17">
        <v>2.94E8</v>
      </c>
      <c r="G153" s="11">
        <v>15661.05</v>
      </c>
    </row>
    <row r="154">
      <c r="A154" s="7">
        <v>43539.0</v>
      </c>
      <c r="B154" s="11">
        <v>11376.85</v>
      </c>
      <c r="C154" s="11">
        <v>11487.0</v>
      </c>
      <c r="D154" s="11">
        <v>11370.8</v>
      </c>
      <c r="E154" s="11">
        <v>11426.85</v>
      </c>
      <c r="F154" s="17">
        <v>4.64E8</v>
      </c>
      <c r="G154" s="11">
        <v>25143.26</v>
      </c>
    </row>
    <row r="155">
      <c r="A155" s="7">
        <v>43542.0</v>
      </c>
      <c r="B155" s="11">
        <v>11473.85</v>
      </c>
      <c r="C155" s="11">
        <v>11530.15</v>
      </c>
      <c r="D155" s="11">
        <v>11412.5</v>
      </c>
      <c r="E155" s="11">
        <v>11462.2</v>
      </c>
      <c r="F155" s="17">
        <v>3.2E8</v>
      </c>
      <c r="G155" s="11">
        <v>16942.22</v>
      </c>
    </row>
    <row r="156">
      <c r="A156" s="7">
        <v>43543.0</v>
      </c>
      <c r="B156" s="11">
        <v>11500.3</v>
      </c>
      <c r="C156" s="11">
        <v>11543.85</v>
      </c>
      <c r="D156" s="11">
        <v>11451.25</v>
      </c>
      <c r="E156" s="11">
        <v>11532.4</v>
      </c>
      <c r="F156" s="17">
        <v>3.26E8</v>
      </c>
      <c r="G156" s="11">
        <v>16179.92</v>
      </c>
    </row>
    <row r="157">
      <c r="A157" s="7">
        <v>43544.0</v>
      </c>
      <c r="B157" s="11">
        <v>11553.35</v>
      </c>
      <c r="C157" s="11">
        <v>11556.1</v>
      </c>
      <c r="D157" s="11">
        <v>11503.1</v>
      </c>
      <c r="E157" s="11">
        <v>11521.05</v>
      </c>
      <c r="F157" s="17">
        <v>3.66E8</v>
      </c>
      <c r="G157" s="11">
        <v>18311.44</v>
      </c>
    </row>
    <row r="158">
      <c r="A158" s="7">
        <v>43546.0</v>
      </c>
      <c r="B158" s="11">
        <v>11549.2</v>
      </c>
      <c r="C158" s="11">
        <v>11572.8</v>
      </c>
      <c r="D158" s="11">
        <v>11434.55</v>
      </c>
      <c r="E158" s="11">
        <v>11456.9</v>
      </c>
      <c r="F158" s="17">
        <v>3.86E8</v>
      </c>
      <c r="G158" s="11">
        <v>19755.74</v>
      </c>
    </row>
    <row r="159">
      <c r="A159" s="7">
        <v>43549.0</v>
      </c>
      <c r="B159" s="11">
        <v>11395.65</v>
      </c>
      <c r="C159" s="11">
        <v>11395.65</v>
      </c>
      <c r="D159" s="11">
        <v>11311.6</v>
      </c>
      <c r="E159" s="11">
        <v>11354.25</v>
      </c>
      <c r="F159" s="17">
        <v>2.94E8</v>
      </c>
      <c r="G159" s="11">
        <v>14101.14</v>
      </c>
    </row>
    <row r="160">
      <c r="A160" s="7">
        <v>43550.0</v>
      </c>
      <c r="B160" s="11">
        <v>11375.2</v>
      </c>
      <c r="C160" s="11">
        <v>11496.75</v>
      </c>
      <c r="D160" s="11">
        <v>11352.45</v>
      </c>
      <c r="E160" s="11">
        <v>11483.25</v>
      </c>
      <c r="F160" s="17">
        <v>2.83E8</v>
      </c>
      <c r="G160" s="11">
        <v>14611.68</v>
      </c>
    </row>
    <row r="161">
      <c r="A161" s="7">
        <v>43551.0</v>
      </c>
      <c r="B161" s="11">
        <v>11531.45</v>
      </c>
      <c r="C161" s="11">
        <v>11546.2</v>
      </c>
      <c r="D161" s="11">
        <v>11413.0</v>
      </c>
      <c r="E161" s="11">
        <v>11445.05</v>
      </c>
      <c r="F161" s="17">
        <v>3.5E8</v>
      </c>
      <c r="G161" s="11">
        <v>18356.52</v>
      </c>
    </row>
    <row r="162">
      <c r="A162" s="7">
        <v>43552.0</v>
      </c>
      <c r="B162" s="11">
        <v>11463.65</v>
      </c>
      <c r="C162" s="11">
        <v>11588.5</v>
      </c>
      <c r="D162" s="11">
        <v>11452.45</v>
      </c>
      <c r="E162" s="11">
        <v>11570.0</v>
      </c>
      <c r="F162" s="17">
        <v>5.28E8</v>
      </c>
      <c r="G162" s="11">
        <v>25719.65</v>
      </c>
    </row>
    <row r="163">
      <c r="A163" s="7">
        <v>43553.0</v>
      </c>
      <c r="B163" s="11">
        <v>11625.45</v>
      </c>
      <c r="C163" s="11">
        <v>11630.35</v>
      </c>
      <c r="D163" s="11">
        <v>11570.15</v>
      </c>
      <c r="E163" s="11">
        <v>11623.9</v>
      </c>
      <c r="F163" s="17">
        <v>4.16E8</v>
      </c>
      <c r="G163" s="11">
        <v>20515.25</v>
      </c>
    </row>
    <row r="164">
      <c r="A164" s="7">
        <v>43556.0</v>
      </c>
      <c r="B164" s="11">
        <v>11665.2</v>
      </c>
      <c r="C164" s="11">
        <v>11738.1</v>
      </c>
      <c r="D164" s="11">
        <v>11644.75</v>
      </c>
      <c r="E164" s="11">
        <v>11669.15</v>
      </c>
      <c r="F164" s="17">
        <v>3.8E8</v>
      </c>
      <c r="G164" s="11">
        <v>18977.99</v>
      </c>
    </row>
    <row r="165">
      <c r="A165" s="7">
        <v>43557.0</v>
      </c>
      <c r="B165" s="11">
        <v>11711.55</v>
      </c>
      <c r="C165" s="11">
        <v>11729.35</v>
      </c>
      <c r="D165" s="11">
        <v>11655.85</v>
      </c>
      <c r="E165" s="11">
        <v>11713.2</v>
      </c>
      <c r="F165" s="17">
        <v>3.86E8</v>
      </c>
      <c r="G165" s="11">
        <v>18673.7</v>
      </c>
    </row>
    <row r="166">
      <c r="A166" s="7">
        <v>43558.0</v>
      </c>
      <c r="B166" s="11">
        <v>11735.3</v>
      </c>
      <c r="C166" s="11">
        <v>11761.0</v>
      </c>
      <c r="D166" s="11">
        <v>11629.15</v>
      </c>
      <c r="E166" s="11">
        <v>11643.95</v>
      </c>
      <c r="F166" s="17">
        <v>3.66E8</v>
      </c>
      <c r="G166" s="11">
        <v>19050.95</v>
      </c>
    </row>
    <row r="167">
      <c r="A167" s="7">
        <v>43559.0</v>
      </c>
      <c r="B167" s="11">
        <v>11660.2</v>
      </c>
      <c r="C167" s="11">
        <v>11662.55</v>
      </c>
      <c r="D167" s="11">
        <v>11559.2</v>
      </c>
      <c r="E167" s="11">
        <v>11598.0</v>
      </c>
      <c r="F167" s="17">
        <v>3.49E8</v>
      </c>
      <c r="G167" s="11">
        <v>19713.01</v>
      </c>
    </row>
    <row r="168">
      <c r="A168" s="7">
        <v>43560.0</v>
      </c>
      <c r="B168" s="11">
        <v>11638.4</v>
      </c>
      <c r="C168" s="11">
        <v>11689.65</v>
      </c>
      <c r="D168" s="11">
        <v>11609.5</v>
      </c>
      <c r="E168" s="11">
        <v>11665.95</v>
      </c>
      <c r="F168" s="17">
        <v>2.67E8</v>
      </c>
      <c r="G168" s="11">
        <v>15000.35</v>
      </c>
    </row>
    <row r="169">
      <c r="A169" s="7">
        <v>43563.0</v>
      </c>
      <c r="B169" s="11">
        <v>11704.35</v>
      </c>
      <c r="C169" s="11">
        <v>11710.3</v>
      </c>
      <c r="D169" s="11">
        <v>11549.1</v>
      </c>
      <c r="E169" s="11">
        <v>11604.5</v>
      </c>
      <c r="F169" s="17">
        <v>2.61E8</v>
      </c>
      <c r="G169" s="11">
        <v>14203.96</v>
      </c>
    </row>
    <row r="170">
      <c r="A170" s="7">
        <v>43564.0</v>
      </c>
      <c r="B170" s="11">
        <v>11612.05</v>
      </c>
      <c r="C170" s="11">
        <v>11683.9</v>
      </c>
      <c r="D170" s="11">
        <v>11569.7</v>
      </c>
      <c r="E170" s="11">
        <v>11671.95</v>
      </c>
      <c r="F170" s="17">
        <v>3.0E8</v>
      </c>
      <c r="G170" s="11">
        <v>15984.39</v>
      </c>
    </row>
    <row r="171">
      <c r="A171" s="7">
        <v>43565.0</v>
      </c>
      <c r="B171" s="11">
        <v>11646.85</v>
      </c>
      <c r="C171" s="11">
        <v>11680.05</v>
      </c>
      <c r="D171" s="11">
        <v>11571.75</v>
      </c>
      <c r="E171" s="11">
        <v>11584.3</v>
      </c>
      <c r="F171" s="17">
        <v>3.6E8</v>
      </c>
      <c r="G171" s="11">
        <v>22258.46</v>
      </c>
    </row>
    <row r="172">
      <c r="A172" s="7">
        <v>43566.0</v>
      </c>
      <c r="B172" s="11">
        <v>11592.55</v>
      </c>
      <c r="C172" s="11">
        <v>11606.7</v>
      </c>
      <c r="D172" s="11">
        <v>11550.55</v>
      </c>
      <c r="E172" s="11">
        <v>11596.7</v>
      </c>
      <c r="F172" s="17">
        <v>2.8E8</v>
      </c>
      <c r="G172" s="11">
        <v>14332.2</v>
      </c>
    </row>
    <row r="173">
      <c r="A173" s="7">
        <v>43567.0</v>
      </c>
      <c r="B173" s="11">
        <v>11612.85</v>
      </c>
      <c r="C173" s="11">
        <v>11657.35</v>
      </c>
      <c r="D173" s="11">
        <v>11578.8</v>
      </c>
      <c r="E173" s="11">
        <v>11643.45</v>
      </c>
      <c r="F173" s="17">
        <v>2.46E8</v>
      </c>
      <c r="G173" s="11">
        <v>13598.61</v>
      </c>
    </row>
    <row r="174">
      <c r="A174" s="7">
        <v>43570.0</v>
      </c>
      <c r="B174" s="11">
        <v>11667.0</v>
      </c>
      <c r="C174" s="11">
        <v>11704.6</v>
      </c>
      <c r="D174" s="11">
        <v>11648.25</v>
      </c>
      <c r="E174" s="11">
        <v>11690.35</v>
      </c>
      <c r="F174" s="17">
        <v>2.9E8</v>
      </c>
      <c r="G174" s="11">
        <v>15635.79</v>
      </c>
    </row>
    <row r="175">
      <c r="A175" s="7">
        <v>43571.0</v>
      </c>
      <c r="B175" s="11">
        <v>11736.2</v>
      </c>
      <c r="C175" s="11">
        <v>11810.95</v>
      </c>
      <c r="D175" s="11">
        <v>11731.55</v>
      </c>
      <c r="E175" s="11">
        <v>11787.15</v>
      </c>
      <c r="F175" s="17">
        <v>3.54E8</v>
      </c>
      <c r="G175" s="11">
        <v>17585.48</v>
      </c>
    </row>
    <row r="176">
      <c r="A176" s="7">
        <v>43573.0</v>
      </c>
      <c r="B176" s="11">
        <v>11856.15</v>
      </c>
      <c r="C176" s="11">
        <v>11856.15</v>
      </c>
      <c r="D176" s="11">
        <v>11738.5</v>
      </c>
      <c r="E176" s="11">
        <v>11752.8</v>
      </c>
      <c r="F176" s="17">
        <v>3.4E8</v>
      </c>
      <c r="G176" s="11">
        <v>18271.27</v>
      </c>
    </row>
    <row r="177">
      <c r="A177" s="7">
        <v>43577.0</v>
      </c>
      <c r="B177" s="11">
        <v>11727.05</v>
      </c>
      <c r="C177" s="11">
        <v>11727.05</v>
      </c>
      <c r="D177" s="11">
        <v>11583.95</v>
      </c>
      <c r="E177" s="11">
        <v>11594.45</v>
      </c>
      <c r="F177" s="17">
        <v>2.6E8</v>
      </c>
      <c r="G177" s="11">
        <v>13754.12</v>
      </c>
    </row>
    <row r="178">
      <c r="A178" s="7">
        <v>43578.0</v>
      </c>
      <c r="B178" s="11">
        <v>11612.95</v>
      </c>
      <c r="C178" s="11">
        <v>11645.95</v>
      </c>
      <c r="D178" s="11">
        <v>11564.8</v>
      </c>
      <c r="E178" s="11">
        <v>11575.95</v>
      </c>
      <c r="F178" s="17">
        <v>2.73E8</v>
      </c>
      <c r="G178" s="11">
        <v>14500.53</v>
      </c>
    </row>
    <row r="179">
      <c r="A179" s="7">
        <v>43579.0</v>
      </c>
      <c r="B179" s="11">
        <v>11601.5</v>
      </c>
      <c r="C179" s="11">
        <v>11740.85</v>
      </c>
      <c r="D179" s="11">
        <v>11578.85</v>
      </c>
      <c r="E179" s="11">
        <v>11726.15</v>
      </c>
      <c r="F179" s="17">
        <v>3.35E8</v>
      </c>
      <c r="G179" s="11">
        <v>17046.66</v>
      </c>
    </row>
    <row r="180">
      <c r="A180" s="7">
        <v>43580.0</v>
      </c>
      <c r="B180" s="11">
        <v>11735.7</v>
      </c>
      <c r="C180" s="11">
        <v>11796.75</v>
      </c>
      <c r="D180" s="11">
        <v>11624.3</v>
      </c>
      <c r="E180" s="11">
        <v>11641.8</v>
      </c>
      <c r="F180" s="17">
        <v>6.04E8</v>
      </c>
      <c r="G180" s="11">
        <v>28254.3</v>
      </c>
    </row>
    <row r="181">
      <c r="A181" s="7">
        <v>43581.0</v>
      </c>
      <c r="B181" s="11">
        <v>11683.75</v>
      </c>
      <c r="C181" s="11">
        <v>11762.9</v>
      </c>
      <c r="D181" s="11">
        <v>11661.75</v>
      </c>
      <c r="E181" s="11">
        <v>11754.65</v>
      </c>
      <c r="F181" s="17">
        <v>3.33E8</v>
      </c>
      <c r="G181" s="11">
        <v>18098.83</v>
      </c>
    </row>
    <row r="182">
      <c r="A182" s="7">
        <v>43585.0</v>
      </c>
      <c r="B182" s="11">
        <v>11748.75</v>
      </c>
      <c r="C182" s="11">
        <v>11756.25</v>
      </c>
      <c r="D182" s="11">
        <v>11655.9</v>
      </c>
      <c r="E182" s="11">
        <v>11748.15</v>
      </c>
      <c r="F182" s="17">
        <v>5.33E8</v>
      </c>
      <c r="G182" s="11">
        <v>23324.98</v>
      </c>
    </row>
    <row r="183">
      <c r="A183" s="61">
        <v>43587.0</v>
      </c>
      <c r="B183" s="11">
        <v>11725.55</v>
      </c>
      <c r="C183" s="11">
        <v>11789.3</v>
      </c>
      <c r="D183" s="11">
        <v>11699.55</v>
      </c>
      <c r="E183" s="11">
        <v>11724.75</v>
      </c>
      <c r="F183" s="17">
        <v>3.8E8</v>
      </c>
      <c r="G183" s="11">
        <v>17790.06</v>
      </c>
    </row>
    <row r="184">
      <c r="A184" s="61">
        <v>43588.0</v>
      </c>
      <c r="B184" s="11">
        <v>11722.6</v>
      </c>
      <c r="C184" s="11">
        <v>11770.9</v>
      </c>
      <c r="D184" s="11">
        <v>11699.35</v>
      </c>
      <c r="E184" s="11">
        <v>11712.25</v>
      </c>
      <c r="F184" s="17">
        <v>3.06E8</v>
      </c>
      <c r="G184" s="11">
        <v>15156.32</v>
      </c>
    </row>
    <row r="185">
      <c r="A185" s="61">
        <v>43591.0</v>
      </c>
      <c r="B185" s="11">
        <v>11605.8</v>
      </c>
      <c r="C185" s="11">
        <v>11632.55</v>
      </c>
      <c r="D185" s="11">
        <v>11571.35</v>
      </c>
      <c r="E185" s="11">
        <v>11598.25</v>
      </c>
      <c r="F185" s="17">
        <v>2.99E8</v>
      </c>
      <c r="G185" s="11">
        <v>14703.42</v>
      </c>
    </row>
    <row r="186">
      <c r="A186" s="61">
        <v>43592.0</v>
      </c>
      <c r="B186" s="11">
        <v>11651.5</v>
      </c>
      <c r="C186" s="11">
        <v>11657.05</v>
      </c>
      <c r="D186" s="11">
        <v>11484.45</v>
      </c>
      <c r="E186" s="11">
        <v>11497.9</v>
      </c>
      <c r="F186" s="17">
        <v>3.37E8</v>
      </c>
      <c r="G186" s="11">
        <v>16632.84</v>
      </c>
    </row>
    <row r="187">
      <c r="A187" s="61">
        <v>43593.0</v>
      </c>
      <c r="B187" s="11">
        <v>11478.7</v>
      </c>
      <c r="C187" s="11">
        <v>11479.1</v>
      </c>
      <c r="D187" s="11">
        <v>11346.95</v>
      </c>
      <c r="E187" s="11">
        <v>11359.45</v>
      </c>
      <c r="F187" s="17">
        <v>3.73E8</v>
      </c>
      <c r="G187" s="11">
        <v>17440.01</v>
      </c>
    </row>
    <row r="188">
      <c r="A188" s="61">
        <v>43594.0</v>
      </c>
      <c r="B188" s="11">
        <v>11322.4</v>
      </c>
      <c r="C188" s="11">
        <v>11357.6</v>
      </c>
      <c r="D188" s="11">
        <v>11255.05</v>
      </c>
      <c r="E188" s="11">
        <v>11301.8</v>
      </c>
      <c r="F188" s="17">
        <v>3.73E8</v>
      </c>
      <c r="G188" s="11">
        <v>17602.86</v>
      </c>
    </row>
    <row r="189">
      <c r="A189" s="61">
        <v>43595.0</v>
      </c>
      <c r="B189" s="11">
        <v>11314.15</v>
      </c>
      <c r="C189" s="11">
        <v>11345.8</v>
      </c>
      <c r="D189" s="11">
        <v>11251.05</v>
      </c>
      <c r="E189" s="11">
        <v>11278.9</v>
      </c>
      <c r="F189" s="17">
        <v>3.87E8</v>
      </c>
      <c r="G189" s="11">
        <v>18085.19</v>
      </c>
    </row>
    <row r="190">
      <c r="A190" s="61">
        <v>43598.0</v>
      </c>
      <c r="B190" s="11">
        <v>11258.7</v>
      </c>
      <c r="C190" s="11">
        <v>11300.2</v>
      </c>
      <c r="D190" s="11">
        <v>11125.6</v>
      </c>
      <c r="E190" s="11">
        <v>11148.2</v>
      </c>
      <c r="F190" s="17">
        <v>3.58E8</v>
      </c>
      <c r="G190" s="11">
        <v>16722.91</v>
      </c>
    </row>
    <row r="191">
      <c r="A191" s="61">
        <v>43599.0</v>
      </c>
      <c r="B191" s="11">
        <v>11151.65</v>
      </c>
      <c r="C191" s="11">
        <v>11294.75</v>
      </c>
      <c r="D191" s="11">
        <v>11108.3</v>
      </c>
      <c r="E191" s="11">
        <v>11222.05</v>
      </c>
      <c r="F191" s="17">
        <v>3.98E8</v>
      </c>
      <c r="G191" s="11">
        <v>19906.38</v>
      </c>
    </row>
    <row r="192">
      <c r="A192" s="61">
        <v>43600.0</v>
      </c>
      <c r="B192" s="11">
        <v>11271.7</v>
      </c>
      <c r="C192" s="11">
        <v>11286.8</v>
      </c>
      <c r="D192" s="11">
        <v>11136.95</v>
      </c>
      <c r="E192" s="11">
        <v>11157.0</v>
      </c>
      <c r="F192" s="17">
        <v>4.14E8</v>
      </c>
      <c r="G192" s="11">
        <v>17931.75</v>
      </c>
    </row>
    <row r="193">
      <c r="A193" s="61">
        <v>43601.0</v>
      </c>
      <c r="B193" s="11">
        <v>11180.35</v>
      </c>
      <c r="C193" s="11">
        <v>11281.55</v>
      </c>
      <c r="D193" s="11">
        <v>11143.35</v>
      </c>
      <c r="E193" s="11">
        <v>11257.1</v>
      </c>
      <c r="F193" s="17">
        <v>3.51E8</v>
      </c>
      <c r="G193" s="11">
        <v>15629.57</v>
      </c>
    </row>
    <row r="194">
      <c r="A194" s="61">
        <v>43602.0</v>
      </c>
      <c r="B194" s="11">
        <v>11261.9</v>
      </c>
      <c r="C194" s="11">
        <v>11426.15</v>
      </c>
      <c r="D194" s="11">
        <v>11259.85</v>
      </c>
      <c r="E194" s="11">
        <v>11407.15</v>
      </c>
      <c r="F194" s="17">
        <v>4.12E8</v>
      </c>
      <c r="G194" s="11">
        <v>20177.63</v>
      </c>
    </row>
    <row r="195">
      <c r="A195" s="61">
        <v>43605.0</v>
      </c>
      <c r="B195" s="11">
        <v>11651.9</v>
      </c>
      <c r="C195" s="11">
        <v>11845.2</v>
      </c>
      <c r="D195" s="11">
        <v>11591.7</v>
      </c>
      <c r="E195" s="11">
        <v>11828.25</v>
      </c>
      <c r="F195" s="17">
        <v>4.52E8</v>
      </c>
      <c r="G195" s="11">
        <v>25223.78</v>
      </c>
    </row>
    <row r="196">
      <c r="A196" s="61">
        <v>43606.0</v>
      </c>
      <c r="B196" s="11">
        <v>11863.65</v>
      </c>
      <c r="C196" s="11">
        <v>11883.55</v>
      </c>
      <c r="D196" s="11">
        <v>11682.8</v>
      </c>
      <c r="E196" s="11">
        <v>11709.1</v>
      </c>
      <c r="F196" s="17">
        <v>3.81E8</v>
      </c>
      <c r="G196" s="11">
        <v>20324.67</v>
      </c>
    </row>
    <row r="197">
      <c r="A197" s="61">
        <v>43607.0</v>
      </c>
      <c r="B197" s="11">
        <v>11727.95</v>
      </c>
      <c r="C197" s="11">
        <v>11784.8</v>
      </c>
      <c r="D197" s="11">
        <v>11682.4</v>
      </c>
      <c r="E197" s="11">
        <v>11737.9</v>
      </c>
      <c r="F197" s="17">
        <v>3.56E8</v>
      </c>
      <c r="G197" s="11">
        <v>19582.41</v>
      </c>
    </row>
    <row r="198">
      <c r="A198" s="61">
        <v>43608.0</v>
      </c>
      <c r="B198" s="11">
        <v>11901.3</v>
      </c>
      <c r="C198" s="11">
        <v>12041.15</v>
      </c>
      <c r="D198" s="11">
        <v>11614.5</v>
      </c>
      <c r="E198" s="11">
        <v>11657.05</v>
      </c>
      <c r="F198" s="17">
        <v>5.69E8</v>
      </c>
      <c r="G198" s="11">
        <v>31180.08</v>
      </c>
    </row>
    <row r="199">
      <c r="A199" s="61">
        <v>43609.0</v>
      </c>
      <c r="B199" s="11">
        <v>11748.0</v>
      </c>
      <c r="C199" s="11">
        <v>11859.0</v>
      </c>
      <c r="D199" s="11">
        <v>11658.1</v>
      </c>
      <c r="E199" s="11">
        <v>11844.1</v>
      </c>
      <c r="F199" s="17">
        <v>3.75E8</v>
      </c>
      <c r="G199" s="11">
        <v>20028.49</v>
      </c>
    </row>
    <row r="200">
      <c r="A200" s="61">
        <v>43612.0</v>
      </c>
      <c r="B200" s="11">
        <v>11855.5</v>
      </c>
      <c r="C200" s="11">
        <v>11957.15</v>
      </c>
      <c r="D200" s="11">
        <v>11812.4</v>
      </c>
      <c r="E200" s="11">
        <v>11924.75</v>
      </c>
      <c r="F200" s="17">
        <v>3.48E8</v>
      </c>
      <c r="G200" s="11">
        <v>17735.36</v>
      </c>
    </row>
    <row r="201">
      <c r="A201" s="61">
        <v>43613.0</v>
      </c>
      <c r="B201" s="11">
        <v>11958.35</v>
      </c>
      <c r="C201" s="11">
        <v>11958.55</v>
      </c>
      <c r="D201" s="11">
        <v>11864.9</v>
      </c>
      <c r="E201" s="11">
        <v>11928.75</v>
      </c>
      <c r="F201" s="17">
        <v>5.98E8</v>
      </c>
      <c r="G201" s="11">
        <v>28833.54</v>
      </c>
    </row>
    <row r="202">
      <c r="A202" s="61">
        <v>43614.0</v>
      </c>
      <c r="B202" s="11">
        <v>11905.8</v>
      </c>
      <c r="C202" s="11">
        <v>11931.9</v>
      </c>
      <c r="D202" s="11">
        <v>11836.8</v>
      </c>
      <c r="E202" s="11">
        <v>11861.1</v>
      </c>
      <c r="F202" s="17">
        <v>3.18E8</v>
      </c>
      <c r="G202" s="11">
        <v>15985.92</v>
      </c>
    </row>
    <row r="203">
      <c r="A203" s="61">
        <v>43615.0</v>
      </c>
      <c r="B203" s="11">
        <v>11865.3</v>
      </c>
      <c r="C203" s="11">
        <v>11968.55</v>
      </c>
      <c r="D203" s="11">
        <v>11859.4</v>
      </c>
      <c r="E203" s="11">
        <v>11945.9</v>
      </c>
      <c r="F203" s="17">
        <v>4.21E8</v>
      </c>
      <c r="G203" s="11">
        <v>20261.85</v>
      </c>
    </row>
    <row r="204">
      <c r="A204" s="61">
        <v>43616.0</v>
      </c>
      <c r="B204" s="11">
        <v>11999.8</v>
      </c>
      <c r="C204" s="11">
        <v>12039.25</v>
      </c>
      <c r="D204" s="11">
        <v>11829.45</v>
      </c>
      <c r="E204" s="11">
        <v>11922.8</v>
      </c>
      <c r="F204" s="17">
        <v>4.39E8</v>
      </c>
      <c r="G204" s="11">
        <v>22789.0</v>
      </c>
    </row>
    <row r="205">
      <c r="A205" s="7">
        <v>43619.0</v>
      </c>
      <c r="B205" s="11">
        <v>11953.75</v>
      </c>
      <c r="C205" s="11">
        <v>12103.05</v>
      </c>
      <c r="D205" s="11">
        <v>11920.1</v>
      </c>
      <c r="E205" s="11">
        <v>12088.55</v>
      </c>
      <c r="F205" s="17">
        <v>3.15E8</v>
      </c>
      <c r="G205" s="11">
        <v>17451.36</v>
      </c>
    </row>
    <row r="206">
      <c r="A206" s="7">
        <v>43620.0</v>
      </c>
      <c r="B206" s="11">
        <v>12052.65</v>
      </c>
      <c r="C206" s="11">
        <v>12095.2</v>
      </c>
      <c r="D206" s="11">
        <v>12005.85</v>
      </c>
      <c r="E206" s="11">
        <v>12021.65</v>
      </c>
      <c r="F206" s="17">
        <v>2.89E8</v>
      </c>
      <c r="G206" s="11">
        <v>15308.28</v>
      </c>
    </row>
    <row r="207">
      <c r="A207" s="7">
        <v>43622.0</v>
      </c>
      <c r="B207" s="11">
        <v>12039.8</v>
      </c>
      <c r="C207" s="11">
        <v>12039.8</v>
      </c>
      <c r="D207" s="11">
        <v>11830.25</v>
      </c>
      <c r="E207" s="11">
        <v>11843.75</v>
      </c>
      <c r="F207" s="17">
        <v>4.15E8</v>
      </c>
      <c r="G207" s="11">
        <v>21144.77</v>
      </c>
    </row>
    <row r="208">
      <c r="A208" s="7">
        <v>43623.0</v>
      </c>
      <c r="B208" s="11">
        <v>11865.2</v>
      </c>
      <c r="C208" s="11">
        <v>11897.5</v>
      </c>
      <c r="D208" s="11">
        <v>11769.5</v>
      </c>
      <c r="E208" s="11">
        <v>11870.65</v>
      </c>
      <c r="F208" s="17">
        <v>3.02E8</v>
      </c>
      <c r="G208" s="11">
        <v>14939.4</v>
      </c>
    </row>
    <row r="209">
      <c r="A209" s="7">
        <v>43626.0</v>
      </c>
      <c r="B209" s="11">
        <v>11934.9</v>
      </c>
      <c r="C209" s="11">
        <v>11975.05</v>
      </c>
      <c r="D209" s="11">
        <v>11871.75</v>
      </c>
      <c r="E209" s="11">
        <v>11922.7</v>
      </c>
      <c r="F209" s="17">
        <v>3.03E8</v>
      </c>
      <c r="G209" s="11">
        <v>13125.41</v>
      </c>
    </row>
    <row r="210">
      <c r="A210" s="7">
        <v>43627.0</v>
      </c>
      <c r="B210" s="11">
        <v>11959.85</v>
      </c>
      <c r="C210" s="11">
        <v>12000.35</v>
      </c>
      <c r="D210" s="11">
        <v>11904.35</v>
      </c>
      <c r="E210" s="11">
        <v>11965.6</v>
      </c>
      <c r="F210" s="17">
        <v>3.32E8</v>
      </c>
      <c r="G210" s="11">
        <v>15392.28</v>
      </c>
    </row>
    <row r="211">
      <c r="A211" s="7">
        <v>43628.0</v>
      </c>
      <c r="B211" s="11">
        <v>11962.45</v>
      </c>
      <c r="C211" s="11">
        <v>11962.45</v>
      </c>
      <c r="D211" s="11">
        <v>11866.35</v>
      </c>
      <c r="E211" s="11">
        <v>11906.2</v>
      </c>
      <c r="F211" s="17">
        <v>2.84E8</v>
      </c>
      <c r="G211" s="11">
        <v>14120.17</v>
      </c>
    </row>
    <row r="212">
      <c r="A212" s="7">
        <v>43629.0</v>
      </c>
      <c r="B212" s="11">
        <v>11873.9</v>
      </c>
      <c r="C212" s="11">
        <v>11931.35</v>
      </c>
      <c r="D212" s="11">
        <v>11817.05</v>
      </c>
      <c r="E212" s="11">
        <v>11914.05</v>
      </c>
      <c r="F212" s="17">
        <v>4.48E8</v>
      </c>
      <c r="G212" s="11">
        <v>18680.91</v>
      </c>
    </row>
    <row r="213">
      <c r="A213" s="7">
        <v>43630.0</v>
      </c>
      <c r="B213" s="11">
        <v>11910.1</v>
      </c>
      <c r="C213" s="11">
        <v>11911.85</v>
      </c>
      <c r="D213" s="11">
        <v>11797.7</v>
      </c>
      <c r="E213" s="11">
        <v>11823.3</v>
      </c>
      <c r="F213" s="17">
        <v>3.9E8</v>
      </c>
      <c r="G213" s="11">
        <v>16226.57</v>
      </c>
    </row>
    <row r="214">
      <c r="A214" s="7">
        <v>43633.0</v>
      </c>
      <c r="B214" s="11">
        <v>11844.0</v>
      </c>
      <c r="C214" s="11">
        <v>11844.05</v>
      </c>
      <c r="D214" s="11">
        <v>11657.75</v>
      </c>
      <c r="E214" s="11">
        <v>11672.15</v>
      </c>
      <c r="F214" s="17">
        <v>2.96E8</v>
      </c>
      <c r="G214" s="11">
        <v>13851.67</v>
      </c>
    </row>
    <row r="215">
      <c r="A215" s="7">
        <v>43634.0</v>
      </c>
      <c r="B215" s="11">
        <v>11677.05</v>
      </c>
      <c r="C215" s="11">
        <v>11727.2</v>
      </c>
      <c r="D215" s="11">
        <v>11641.15</v>
      </c>
      <c r="E215" s="11">
        <v>11691.5</v>
      </c>
      <c r="F215" s="17">
        <v>3.66E8</v>
      </c>
      <c r="G215" s="11">
        <v>16120.69</v>
      </c>
    </row>
    <row r="216">
      <c r="A216" s="7">
        <v>43635.0</v>
      </c>
      <c r="B216" s="11">
        <v>11744.45</v>
      </c>
      <c r="C216" s="11">
        <v>11802.5</v>
      </c>
      <c r="D216" s="11">
        <v>11625.1</v>
      </c>
      <c r="E216" s="11">
        <v>11691.45</v>
      </c>
      <c r="F216" s="17">
        <v>4.47E8</v>
      </c>
      <c r="G216" s="11">
        <v>18722.71</v>
      </c>
    </row>
    <row r="217">
      <c r="A217" s="7">
        <v>43636.0</v>
      </c>
      <c r="B217" s="11">
        <v>11653.65</v>
      </c>
      <c r="C217" s="11">
        <v>11843.5</v>
      </c>
      <c r="D217" s="11">
        <v>11635.05</v>
      </c>
      <c r="E217" s="11">
        <v>11831.75</v>
      </c>
      <c r="F217" s="17">
        <v>4.42E8</v>
      </c>
      <c r="G217" s="11">
        <v>18839.11</v>
      </c>
    </row>
    <row r="218">
      <c r="A218" s="7">
        <v>43637.0</v>
      </c>
      <c r="B218" s="11">
        <v>11827.6</v>
      </c>
      <c r="C218" s="11">
        <v>11827.95</v>
      </c>
      <c r="D218" s="11">
        <v>11705.1</v>
      </c>
      <c r="E218" s="11">
        <v>11724.1</v>
      </c>
      <c r="F218" s="17">
        <v>4.68E8</v>
      </c>
      <c r="G218" s="11">
        <v>23346.13</v>
      </c>
    </row>
    <row r="219">
      <c r="A219" s="7">
        <v>43640.0</v>
      </c>
      <c r="B219" s="11">
        <v>11725.8</v>
      </c>
      <c r="C219" s="11">
        <v>11754.0</v>
      </c>
      <c r="D219" s="11">
        <v>11670.2</v>
      </c>
      <c r="E219" s="11">
        <v>11699.65</v>
      </c>
      <c r="F219" s="17">
        <v>2.78E8</v>
      </c>
      <c r="G219" s="11">
        <v>12631.38</v>
      </c>
    </row>
    <row r="220">
      <c r="A220" s="7">
        <v>43641.0</v>
      </c>
      <c r="B220" s="11">
        <v>11681.0</v>
      </c>
      <c r="C220" s="11">
        <v>11814.4</v>
      </c>
      <c r="D220" s="11">
        <v>11651.0</v>
      </c>
      <c r="E220" s="11">
        <v>11796.45</v>
      </c>
      <c r="F220" s="17">
        <v>3.0E8</v>
      </c>
      <c r="G220" s="11">
        <v>13822.83</v>
      </c>
    </row>
    <row r="221">
      <c r="A221" s="7">
        <v>43642.0</v>
      </c>
      <c r="B221" s="11">
        <v>11768.15</v>
      </c>
      <c r="C221" s="11">
        <v>11871.85</v>
      </c>
      <c r="D221" s="11">
        <v>11757.55</v>
      </c>
      <c r="E221" s="11">
        <v>11847.55</v>
      </c>
      <c r="F221" s="17">
        <v>3.28E8</v>
      </c>
      <c r="G221" s="11">
        <v>14650.89</v>
      </c>
    </row>
    <row r="222">
      <c r="A222" s="7">
        <v>43643.0</v>
      </c>
      <c r="B222" s="11">
        <v>11860.85</v>
      </c>
      <c r="C222" s="11">
        <v>11911.15</v>
      </c>
      <c r="D222" s="11">
        <v>11821.05</v>
      </c>
      <c r="E222" s="11">
        <v>11841.55</v>
      </c>
      <c r="F222" s="17">
        <v>4.8E8</v>
      </c>
      <c r="G222" s="11">
        <v>23300.3</v>
      </c>
    </row>
    <row r="223">
      <c r="A223" s="7">
        <v>43644.0</v>
      </c>
      <c r="B223" s="11">
        <v>11861.15</v>
      </c>
      <c r="C223" s="11">
        <v>11871.7</v>
      </c>
      <c r="D223" s="11">
        <v>11775.5</v>
      </c>
      <c r="E223" s="11">
        <v>11788.85</v>
      </c>
      <c r="F223" s="17">
        <v>3.04E8</v>
      </c>
      <c r="G223" s="11">
        <v>15191.9</v>
      </c>
    </row>
    <row r="224">
      <c r="A224" s="7">
        <v>43647.0</v>
      </c>
      <c r="B224" s="11">
        <v>11839.9</v>
      </c>
      <c r="C224" s="11">
        <v>11884.65</v>
      </c>
      <c r="D224" s="11">
        <v>11830.8</v>
      </c>
      <c r="E224" s="11">
        <v>11865.6</v>
      </c>
      <c r="F224" s="17">
        <v>2.78E8</v>
      </c>
      <c r="G224" s="11">
        <v>12874.96</v>
      </c>
    </row>
    <row r="225">
      <c r="A225" s="7">
        <v>43648.0</v>
      </c>
      <c r="B225" s="11">
        <v>11890.3</v>
      </c>
      <c r="C225" s="11">
        <v>11917.45</v>
      </c>
      <c r="D225" s="11">
        <v>11814.7</v>
      </c>
      <c r="E225" s="11">
        <v>11910.3</v>
      </c>
      <c r="F225" s="17">
        <v>3.63E8</v>
      </c>
      <c r="G225" s="11">
        <v>13615.94</v>
      </c>
    </row>
    <row r="226">
      <c r="A226" s="7">
        <v>43649.0</v>
      </c>
      <c r="B226" s="11">
        <v>11932.15</v>
      </c>
      <c r="C226" s="11">
        <v>11945.2</v>
      </c>
      <c r="D226" s="11">
        <v>11887.05</v>
      </c>
      <c r="E226" s="11">
        <v>11916.75</v>
      </c>
      <c r="F226" s="17">
        <v>3.41E8</v>
      </c>
      <c r="G226" s="11">
        <v>14290.33</v>
      </c>
    </row>
    <row r="227">
      <c r="A227" s="7">
        <v>43650.0</v>
      </c>
      <c r="B227" s="11">
        <v>11928.8</v>
      </c>
      <c r="C227" s="11">
        <v>11969.25</v>
      </c>
      <c r="D227" s="11">
        <v>11923.65</v>
      </c>
      <c r="E227" s="11">
        <v>11946.75</v>
      </c>
      <c r="F227" s="17">
        <v>3.34E8</v>
      </c>
      <c r="G227" s="11">
        <v>14758.87</v>
      </c>
    </row>
    <row r="228">
      <c r="A228" s="7">
        <v>43651.0</v>
      </c>
      <c r="B228" s="11">
        <v>11964.75</v>
      </c>
      <c r="C228" s="11">
        <v>11981.75</v>
      </c>
      <c r="D228" s="11">
        <v>11797.9</v>
      </c>
      <c r="E228" s="11">
        <v>11811.15</v>
      </c>
      <c r="F228" s="17">
        <v>5.31E8</v>
      </c>
      <c r="G228" s="11">
        <v>18871.99</v>
      </c>
    </row>
    <row r="229">
      <c r="A229" s="7">
        <v>43654.0</v>
      </c>
      <c r="B229" s="11">
        <v>11770.4</v>
      </c>
      <c r="C229" s="11">
        <v>11771.9</v>
      </c>
      <c r="D229" s="11">
        <v>11523.3</v>
      </c>
      <c r="E229" s="11">
        <v>11558.6</v>
      </c>
      <c r="F229" s="17">
        <v>4.64E8</v>
      </c>
      <c r="G229" s="11">
        <v>19146.25</v>
      </c>
    </row>
    <row r="230">
      <c r="A230" s="7">
        <v>43655.0</v>
      </c>
      <c r="B230" s="11">
        <v>11531.6</v>
      </c>
      <c r="C230" s="11">
        <v>11582.55</v>
      </c>
      <c r="D230" s="11">
        <v>11461.0</v>
      </c>
      <c r="E230" s="11">
        <v>11555.9</v>
      </c>
      <c r="F230" s="17">
        <v>4.43E8</v>
      </c>
      <c r="G230" s="11">
        <v>21577.95</v>
      </c>
    </row>
    <row r="231">
      <c r="A231" s="7">
        <v>43656.0</v>
      </c>
      <c r="B231" s="11">
        <v>11536.15</v>
      </c>
      <c r="C231" s="11">
        <v>11593.7</v>
      </c>
      <c r="D231" s="11">
        <v>11475.65</v>
      </c>
      <c r="E231" s="11">
        <v>11498.9</v>
      </c>
      <c r="F231" s="17">
        <v>3.38E8</v>
      </c>
      <c r="G231" s="11">
        <v>16098.53</v>
      </c>
    </row>
    <row r="232">
      <c r="A232" s="7">
        <v>43657.0</v>
      </c>
      <c r="B232" s="11">
        <v>11561.45</v>
      </c>
      <c r="C232" s="11">
        <v>11599.0</v>
      </c>
      <c r="D232" s="11">
        <v>11519.5</v>
      </c>
      <c r="E232" s="11">
        <v>11582.9</v>
      </c>
      <c r="F232" s="17">
        <v>3.17E8</v>
      </c>
      <c r="G232" s="11">
        <v>14586.2</v>
      </c>
    </row>
    <row r="233">
      <c r="A233" s="7">
        <v>43658.0</v>
      </c>
      <c r="B233" s="11">
        <v>11601.15</v>
      </c>
      <c r="C233" s="11">
        <v>11639.55</v>
      </c>
      <c r="D233" s="11">
        <v>11538.6</v>
      </c>
      <c r="E233" s="11">
        <v>11552.5</v>
      </c>
      <c r="F233" s="17">
        <v>3.59E8</v>
      </c>
      <c r="G233" s="11">
        <v>16947.57</v>
      </c>
    </row>
    <row r="234">
      <c r="A234" s="7">
        <v>43661.0</v>
      </c>
      <c r="B234" s="11">
        <v>11614.75</v>
      </c>
      <c r="C234" s="11">
        <v>11618.4</v>
      </c>
      <c r="D234" s="11">
        <v>11532.3</v>
      </c>
      <c r="E234" s="11">
        <v>11588.35</v>
      </c>
      <c r="F234" s="17">
        <v>3.69E8</v>
      </c>
      <c r="G234" s="11">
        <v>15835.99</v>
      </c>
    </row>
    <row r="235">
      <c r="A235" s="7">
        <v>43662.0</v>
      </c>
      <c r="B235" s="11">
        <v>11596.65</v>
      </c>
      <c r="C235" s="11">
        <v>11670.05</v>
      </c>
      <c r="D235" s="11">
        <v>11573.95</v>
      </c>
      <c r="E235" s="11">
        <v>11662.6</v>
      </c>
      <c r="F235" s="17">
        <v>4.8E8</v>
      </c>
      <c r="G235" s="11">
        <v>15967.91</v>
      </c>
    </row>
    <row r="236">
      <c r="A236" s="7">
        <v>43663.0</v>
      </c>
      <c r="B236" s="11">
        <v>11670.75</v>
      </c>
      <c r="C236" s="11">
        <v>11706.65</v>
      </c>
      <c r="D236" s="11">
        <v>11651.15</v>
      </c>
      <c r="E236" s="11">
        <v>11687.5</v>
      </c>
      <c r="F236" s="17">
        <v>4.65E8</v>
      </c>
      <c r="G236" s="11">
        <v>15250.5</v>
      </c>
    </row>
    <row r="237">
      <c r="A237" s="7">
        <v>43664.0</v>
      </c>
      <c r="B237" s="11">
        <v>11675.6</v>
      </c>
      <c r="C237" s="11">
        <v>11677.15</v>
      </c>
      <c r="D237" s="11">
        <v>11582.4</v>
      </c>
      <c r="E237" s="11">
        <v>11596.9</v>
      </c>
      <c r="F237" s="17">
        <v>4.98E8</v>
      </c>
      <c r="G237" s="11">
        <v>16684.03</v>
      </c>
    </row>
    <row r="238">
      <c r="A238" s="7">
        <v>43665.0</v>
      </c>
      <c r="B238" s="11">
        <v>11627.95</v>
      </c>
      <c r="C238" s="11">
        <v>11640.35</v>
      </c>
      <c r="D238" s="11">
        <v>11399.3</v>
      </c>
      <c r="E238" s="11">
        <v>11419.25</v>
      </c>
      <c r="F238" s="17">
        <v>4.46E8</v>
      </c>
      <c r="G238" s="11">
        <v>17326.4</v>
      </c>
    </row>
    <row r="239">
      <c r="A239" s="7">
        <v>43668.0</v>
      </c>
      <c r="B239" s="11">
        <v>11392.85</v>
      </c>
      <c r="C239" s="11">
        <v>11398.15</v>
      </c>
      <c r="D239" s="11">
        <v>11301.25</v>
      </c>
      <c r="E239" s="11">
        <v>11346.2</v>
      </c>
      <c r="F239" s="17">
        <v>5.16E8</v>
      </c>
      <c r="G239" s="11">
        <v>19304.23</v>
      </c>
    </row>
    <row r="240">
      <c r="A240" s="7">
        <v>43669.0</v>
      </c>
      <c r="B240" s="11">
        <v>11372.25</v>
      </c>
      <c r="C240" s="11">
        <v>11398.15</v>
      </c>
      <c r="D240" s="11">
        <v>11302.8</v>
      </c>
      <c r="E240" s="11">
        <v>11331.05</v>
      </c>
      <c r="F240" s="17">
        <v>4.59E8</v>
      </c>
      <c r="G240" s="11">
        <v>19199.32</v>
      </c>
    </row>
    <row r="241">
      <c r="A241" s="7">
        <v>43670.0</v>
      </c>
      <c r="B241" s="11">
        <v>11322.45</v>
      </c>
      <c r="C241" s="11">
        <v>11359.75</v>
      </c>
      <c r="D241" s="11">
        <v>11229.8</v>
      </c>
      <c r="E241" s="11">
        <v>11271.3</v>
      </c>
      <c r="F241" s="17">
        <v>4.13E8</v>
      </c>
      <c r="G241" s="11">
        <v>18353.13</v>
      </c>
    </row>
    <row r="242">
      <c r="A242" s="7">
        <v>43671.0</v>
      </c>
      <c r="B242" s="11">
        <v>11290.4</v>
      </c>
      <c r="C242" s="11">
        <v>11361.4</v>
      </c>
      <c r="D242" s="11">
        <v>11239.35</v>
      </c>
      <c r="E242" s="11">
        <v>11252.15</v>
      </c>
      <c r="F242" s="17">
        <v>5.54E8</v>
      </c>
      <c r="G242" s="11">
        <v>24329.21</v>
      </c>
    </row>
    <row r="243">
      <c r="A243" s="7">
        <v>43672.0</v>
      </c>
      <c r="B243" s="11">
        <v>11247.45</v>
      </c>
      <c r="C243" s="11">
        <v>11307.6</v>
      </c>
      <c r="D243" s="11">
        <v>11210.05</v>
      </c>
      <c r="E243" s="11">
        <v>11284.3</v>
      </c>
      <c r="F243" s="17">
        <v>5.23E8</v>
      </c>
      <c r="G243" s="11">
        <v>20350.38</v>
      </c>
    </row>
    <row r="244">
      <c r="A244" s="7">
        <v>43675.0</v>
      </c>
      <c r="B244" s="11">
        <v>11307.5</v>
      </c>
      <c r="C244" s="11">
        <v>11310.95</v>
      </c>
      <c r="D244" s="11">
        <v>11152.4</v>
      </c>
      <c r="E244" s="11">
        <v>11189.2</v>
      </c>
      <c r="F244" s="17">
        <v>4.83E8</v>
      </c>
      <c r="G244" s="11">
        <v>18705.92</v>
      </c>
    </row>
    <row r="245">
      <c r="A245" s="7">
        <v>43676.0</v>
      </c>
      <c r="B245" s="11">
        <v>11213.7</v>
      </c>
      <c r="C245" s="11">
        <v>11267.45</v>
      </c>
      <c r="D245" s="11">
        <v>11072.65</v>
      </c>
      <c r="E245" s="11">
        <v>11085.4</v>
      </c>
      <c r="F245" s="17">
        <v>4.79E8</v>
      </c>
      <c r="G245" s="11">
        <v>20545.71</v>
      </c>
    </row>
    <row r="246">
      <c r="A246" s="63">
        <v>43677.0</v>
      </c>
      <c r="B246" s="62">
        <v>11034.05</v>
      </c>
      <c r="C246" s="62">
        <v>11145.3</v>
      </c>
      <c r="D246" s="62">
        <v>10999.4</v>
      </c>
      <c r="E246" s="62">
        <v>11118.0</v>
      </c>
      <c r="F246" s="62">
        <v>5.36694278E8</v>
      </c>
      <c r="G246" s="62">
        <v>23681.22</v>
      </c>
    </row>
    <row r="247">
      <c r="A247" s="64">
        <v>43678.0</v>
      </c>
      <c r="B247" s="62">
        <v>11060.2</v>
      </c>
      <c r="C247" s="62">
        <v>11076.75</v>
      </c>
      <c r="D247" s="62">
        <v>10881.0</v>
      </c>
      <c r="E247" s="62">
        <v>10980.0</v>
      </c>
      <c r="F247" s="62">
        <v>4.99918953E8</v>
      </c>
      <c r="G247" s="62">
        <v>21048.32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6" t="s">
        <v>7</v>
      </c>
      <c r="C1" s="8" t="s">
        <v>1</v>
      </c>
      <c r="D1" s="8" t="s">
        <v>2</v>
      </c>
      <c r="E1" s="8" t="s">
        <v>5</v>
      </c>
      <c r="F1" s="12" t="s">
        <v>12</v>
      </c>
    </row>
    <row r="2">
      <c r="A2" s="14">
        <v>43313.0</v>
      </c>
      <c r="B2" s="15">
        <v>7.701</v>
      </c>
      <c r="C2" s="18">
        <v>7.767</v>
      </c>
      <c r="D2" s="18">
        <v>7.841</v>
      </c>
      <c r="E2" s="18">
        <v>7.701</v>
      </c>
      <c r="F2" s="21">
        <v>-0.0091</v>
      </c>
    </row>
    <row r="3">
      <c r="A3" s="24">
        <v>43314.0</v>
      </c>
      <c r="B3" s="28">
        <v>7.721</v>
      </c>
      <c r="C3" s="30">
        <v>7.698</v>
      </c>
      <c r="D3" s="30">
        <v>7.732</v>
      </c>
      <c r="E3" s="30">
        <v>7.681</v>
      </c>
      <c r="F3" s="33">
        <v>0.0026</v>
      </c>
    </row>
    <row r="4">
      <c r="A4" s="24">
        <v>43315.0</v>
      </c>
      <c r="B4" s="28">
        <v>7.763</v>
      </c>
      <c r="C4" s="30">
        <v>7.742</v>
      </c>
      <c r="D4" s="30">
        <v>7.771</v>
      </c>
      <c r="E4" s="30">
        <v>7.739</v>
      </c>
      <c r="F4" s="33">
        <v>0.0054</v>
      </c>
    </row>
    <row r="5">
      <c r="A5" s="24">
        <v>43318.0</v>
      </c>
      <c r="B5" s="28">
        <v>7.768</v>
      </c>
      <c r="C5" s="30">
        <v>7.754</v>
      </c>
      <c r="D5" s="30">
        <v>7.773</v>
      </c>
      <c r="E5" s="30">
        <v>7.747</v>
      </c>
      <c r="F5" s="33">
        <v>6.0E-4</v>
      </c>
    </row>
    <row r="6">
      <c r="A6" s="24">
        <v>43319.0</v>
      </c>
      <c r="B6" s="28">
        <v>7.786</v>
      </c>
      <c r="C6" s="30">
        <v>7.772</v>
      </c>
      <c r="D6" s="30">
        <v>7.787</v>
      </c>
      <c r="E6" s="30">
        <v>7.757</v>
      </c>
      <c r="F6" s="33">
        <v>0.0023</v>
      </c>
    </row>
    <row r="7">
      <c r="A7" s="24">
        <v>43320.0</v>
      </c>
      <c r="B7" s="38">
        <v>7.782</v>
      </c>
      <c r="C7" s="30">
        <v>7.792</v>
      </c>
      <c r="D7" s="30">
        <v>7.793</v>
      </c>
      <c r="E7" s="30">
        <v>7.776</v>
      </c>
      <c r="F7" s="41">
        <v>-5.0E-4</v>
      </c>
    </row>
    <row r="8">
      <c r="A8" s="24">
        <v>43321.0</v>
      </c>
      <c r="B8" s="38">
        <v>7.745</v>
      </c>
      <c r="C8" s="30">
        <v>7.754</v>
      </c>
      <c r="D8" s="30">
        <v>7.762</v>
      </c>
      <c r="E8" s="30">
        <v>7.74</v>
      </c>
      <c r="F8" s="41">
        <v>-0.0048</v>
      </c>
    </row>
    <row r="9">
      <c r="A9" s="45">
        <v>43322.0</v>
      </c>
      <c r="B9" s="28">
        <v>7.754</v>
      </c>
      <c r="C9" s="30">
        <v>7.743</v>
      </c>
      <c r="D9" s="30">
        <v>7.759</v>
      </c>
      <c r="E9" s="30">
        <v>7.737</v>
      </c>
      <c r="F9" s="33">
        <v>0.0012</v>
      </c>
    </row>
    <row r="10">
      <c r="A10" s="45">
        <v>43325.0</v>
      </c>
      <c r="B10" s="28">
        <v>7.823</v>
      </c>
      <c r="C10" s="30">
        <v>7.807</v>
      </c>
      <c r="D10" s="30">
        <v>7.825</v>
      </c>
      <c r="E10" s="30">
        <v>7.789</v>
      </c>
      <c r="F10" s="33">
        <v>0.0089</v>
      </c>
    </row>
    <row r="11">
      <c r="A11" s="45">
        <v>43326.0</v>
      </c>
      <c r="B11" s="38">
        <v>7.818</v>
      </c>
      <c r="C11" s="30">
        <v>7.8</v>
      </c>
      <c r="D11" s="30">
        <v>7.824</v>
      </c>
      <c r="E11" s="30">
        <v>7.795</v>
      </c>
      <c r="F11" s="41">
        <v>-6.0E-4</v>
      </c>
    </row>
    <row r="12">
      <c r="A12" s="45">
        <v>43328.0</v>
      </c>
      <c r="B12" s="28">
        <v>7.861</v>
      </c>
      <c r="C12" s="30">
        <v>7.849</v>
      </c>
      <c r="D12" s="30">
        <v>7.876</v>
      </c>
      <c r="E12" s="30">
        <v>7.839</v>
      </c>
      <c r="F12" s="33">
        <v>0.0055</v>
      </c>
    </row>
    <row r="13">
      <c r="A13" s="45">
        <v>43332.0</v>
      </c>
      <c r="B13" s="38">
        <v>7.838</v>
      </c>
      <c r="C13" s="30">
        <v>7.836</v>
      </c>
      <c r="D13" s="30">
        <v>7.842</v>
      </c>
      <c r="E13" s="30">
        <v>7.826</v>
      </c>
      <c r="F13" s="41">
        <v>-0.0029</v>
      </c>
    </row>
    <row r="14">
      <c r="A14" s="45">
        <v>43333.0</v>
      </c>
      <c r="B14" s="38">
        <v>7.827</v>
      </c>
      <c r="C14" s="30">
        <v>7.834</v>
      </c>
      <c r="D14" s="30">
        <v>7.834</v>
      </c>
      <c r="E14" s="30">
        <v>7.814</v>
      </c>
      <c r="F14" s="41">
        <v>-0.0014</v>
      </c>
    </row>
    <row r="15">
      <c r="A15" s="45">
        <v>43335.0</v>
      </c>
      <c r="B15" s="28">
        <v>7.879</v>
      </c>
      <c r="C15" s="30">
        <v>7.878</v>
      </c>
      <c r="D15" s="30">
        <v>7.879</v>
      </c>
      <c r="E15" s="30">
        <v>7.861</v>
      </c>
      <c r="F15" s="33">
        <v>0.0066</v>
      </c>
    </row>
    <row r="16">
      <c r="A16" s="45">
        <v>43336.0</v>
      </c>
      <c r="B16" s="38">
        <v>7.871</v>
      </c>
      <c r="C16" s="30">
        <v>7.895</v>
      </c>
      <c r="D16" s="30">
        <v>7.9</v>
      </c>
      <c r="E16" s="30">
        <v>7.871</v>
      </c>
      <c r="F16" s="41">
        <v>-0.001</v>
      </c>
    </row>
    <row r="17">
      <c r="A17" s="45">
        <v>43339.0</v>
      </c>
      <c r="B17" s="28">
        <v>7.894</v>
      </c>
      <c r="C17" s="30">
        <v>7.865</v>
      </c>
      <c r="D17" s="30">
        <v>7.898</v>
      </c>
      <c r="E17" s="30">
        <v>7.86</v>
      </c>
      <c r="F17" s="33">
        <v>0.0029</v>
      </c>
    </row>
    <row r="18">
      <c r="A18" s="45">
        <v>43340.0</v>
      </c>
      <c r="B18" s="28">
        <v>7.895</v>
      </c>
      <c r="C18" s="30">
        <v>7.892</v>
      </c>
      <c r="D18" s="30">
        <v>7.921</v>
      </c>
      <c r="E18" s="30">
        <v>7.892</v>
      </c>
      <c r="F18" s="33">
        <v>1.0E-4</v>
      </c>
    </row>
    <row r="19">
      <c r="A19" s="45">
        <v>43341.0</v>
      </c>
      <c r="B19" s="28">
        <v>7.918</v>
      </c>
      <c r="C19" s="30">
        <v>7.914</v>
      </c>
      <c r="D19" s="30">
        <v>7.92</v>
      </c>
      <c r="E19" s="30">
        <v>7.895</v>
      </c>
      <c r="F19" s="33">
        <v>0.0029</v>
      </c>
    </row>
    <row r="20">
      <c r="A20" s="45">
        <v>43342.0</v>
      </c>
      <c r="B20" s="28">
        <v>7.93</v>
      </c>
      <c r="C20" s="30">
        <v>7.93</v>
      </c>
      <c r="D20" s="30">
        <v>7.941</v>
      </c>
      <c r="E20" s="30">
        <v>7.914</v>
      </c>
      <c r="F20" s="33">
        <v>0.0015</v>
      </c>
    </row>
    <row r="21">
      <c r="A21" s="45">
        <v>43343.0</v>
      </c>
      <c r="B21" s="28">
        <v>7.951</v>
      </c>
      <c r="C21" s="30">
        <v>7.951</v>
      </c>
      <c r="D21" s="30">
        <v>7.958</v>
      </c>
      <c r="E21" s="30">
        <v>7.937</v>
      </c>
      <c r="F21" s="33">
        <v>0.0026</v>
      </c>
    </row>
    <row r="22">
      <c r="A22" s="24">
        <v>43346.0</v>
      </c>
      <c r="B22" s="28">
        <v>7.999</v>
      </c>
      <c r="C22" s="30">
        <v>7.94</v>
      </c>
      <c r="D22" s="30">
        <v>8.0</v>
      </c>
      <c r="E22" s="30">
        <v>7.917</v>
      </c>
      <c r="F22" s="33">
        <v>0.006</v>
      </c>
    </row>
    <row r="23">
      <c r="A23" s="24">
        <v>43347.0</v>
      </c>
      <c r="B23" s="28">
        <v>8.062</v>
      </c>
      <c r="C23" s="30">
        <v>8.006</v>
      </c>
      <c r="D23" s="30">
        <v>8.069</v>
      </c>
      <c r="E23" s="30">
        <v>7.986</v>
      </c>
      <c r="F23" s="33">
        <v>0.0079</v>
      </c>
    </row>
    <row r="24">
      <c r="A24" s="24">
        <v>43348.0</v>
      </c>
      <c r="B24" s="38">
        <v>8.049</v>
      </c>
      <c r="C24" s="30">
        <v>8.043</v>
      </c>
      <c r="D24" s="30">
        <v>8.11</v>
      </c>
      <c r="E24" s="30">
        <v>8.033</v>
      </c>
      <c r="F24" s="41">
        <v>-0.0016</v>
      </c>
    </row>
    <row r="25">
      <c r="A25" s="24">
        <v>43349.0</v>
      </c>
      <c r="B25" s="28">
        <v>8.056</v>
      </c>
      <c r="C25" s="30">
        <v>8.038</v>
      </c>
      <c r="D25" s="30">
        <v>8.085</v>
      </c>
      <c r="E25" s="30">
        <v>8.033</v>
      </c>
      <c r="F25" s="33">
        <v>9.0E-4</v>
      </c>
    </row>
    <row r="26">
      <c r="A26" s="24">
        <v>43350.0</v>
      </c>
      <c r="B26" s="38">
        <v>8.031</v>
      </c>
      <c r="C26" s="30">
        <v>8.05</v>
      </c>
      <c r="D26" s="30">
        <v>8.05</v>
      </c>
      <c r="E26" s="30">
        <v>8.011</v>
      </c>
      <c r="F26" s="41">
        <v>-0.0031</v>
      </c>
    </row>
    <row r="27">
      <c r="A27" s="45">
        <v>43353.0</v>
      </c>
      <c r="B27" s="28">
        <v>8.158</v>
      </c>
      <c r="C27" s="30">
        <v>8.069</v>
      </c>
      <c r="D27" s="30">
        <v>8.158</v>
      </c>
      <c r="E27" s="30">
        <v>8.069</v>
      </c>
      <c r="F27" s="33">
        <v>0.0158</v>
      </c>
    </row>
    <row r="28">
      <c r="A28" s="45">
        <v>43354.0</v>
      </c>
      <c r="B28" s="28">
        <v>8.182</v>
      </c>
      <c r="C28" s="30">
        <v>8.155</v>
      </c>
      <c r="D28" s="30">
        <v>8.189</v>
      </c>
      <c r="E28" s="30">
        <v>8.134</v>
      </c>
      <c r="F28" s="33">
        <v>0.0029</v>
      </c>
    </row>
    <row r="29">
      <c r="A29" s="45">
        <v>43355.0</v>
      </c>
      <c r="B29" s="38">
        <v>8.134</v>
      </c>
      <c r="C29" s="30">
        <v>8.218</v>
      </c>
      <c r="D29" s="30">
        <v>8.231</v>
      </c>
      <c r="E29" s="30">
        <v>8.121</v>
      </c>
      <c r="F29" s="41">
        <v>-0.0059</v>
      </c>
    </row>
    <row r="30">
      <c r="A30" s="45">
        <v>43357.0</v>
      </c>
      <c r="B30" s="38">
        <v>8.127</v>
      </c>
      <c r="C30" s="30">
        <v>8.093</v>
      </c>
      <c r="D30" s="30">
        <v>8.131</v>
      </c>
      <c r="E30" s="30">
        <v>8.091</v>
      </c>
      <c r="F30" s="41">
        <v>-9.0E-4</v>
      </c>
    </row>
    <row r="31">
      <c r="A31" s="45">
        <v>43359.0</v>
      </c>
      <c r="B31" s="38">
        <v>8.124</v>
      </c>
      <c r="C31" s="30">
        <v>8.143</v>
      </c>
      <c r="D31" s="30">
        <v>8.148</v>
      </c>
      <c r="E31" s="30">
        <v>8.121</v>
      </c>
      <c r="F31" s="41">
        <v>-4.0E-4</v>
      </c>
    </row>
    <row r="32">
      <c r="A32" s="45">
        <v>43360.0</v>
      </c>
      <c r="B32" s="38">
        <v>8.098</v>
      </c>
      <c r="C32" s="30">
        <v>8.164</v>
      </c>
      <c r="D32" s="30">
        <v>8.184</v>
      </c>
      <c r="E32" s="30">
        <v>8.09</v>
      </c>
      <c r="F32" s="41">
        <v>-0.0032</v>
      </c>
    </row>
    <row r="33">
      <c r="A33" s="45">
        <v>43361.0</v>
      </c>
      <c r="B33" s="28">
        <v>8.14</v>
      </c>
      <c r="C33" s="30">
        <v>8.106</v>
      </c>
      <c r="D33" s="30">
        <v>8.143</v>
      </c>
      <c r="E33" s="30">
        <v>8.043</v>
      </c>
      <c r="F33" s="33">
        <v>0.0052</v>
      </c>
    </row>
    <row r="34">
      <c r="A34" s="45">
        <v>43362.0</v>
      </c>
      <c r="B34" s="38">
        <v>8.074</v>
      </c>
      <c r="C34" s="30">
        <v>8.124</v>
      </c>
      <c r="D34" s="30">
        <v>8.134</v>
      </c>
      <c r="E34" s="30">
        <v>8.067</v>
      </c>
      <c r="F34" s="41">
        <v>-0.0081</v>
      </c>
    </row>
    <row r="35">
      <c r="A35" s="45">
        <v>43364.0</v>
      </c>
      <c r="B35" s="28">
        <v>8.076</v>
      </c>
      <c r="C35" s="30">
        <v>8.031</v>
      </c>
      <c r="D35" s="30">
        <v>8.135</v>
      </c>
      <c r="E35" s="30">
        <v>8.017</v>
      </c>
      <c r="F35" s="33">
        <v>2.0E-4</v>
      </c>
    </row>
    <row r="36">
      <c r="A36" s="45">
        <v>43367.0</v>
      </c>
      <c r="B36" s="28">
        <v>8.122</v>
      </c>
      <c r="C36" s="30">
        <v>8.094</v>
      </c>
      <c r="D36" s="30">
        <v>8.13</v>
      </c>
      <c r="E36" s="30">
        <v>8.074</v>
      </c>
      <c r="F36" s="33">
        <v>0.0057</v>
      </c>
    </row>
    <row r="37">
      <c r="A37" s="45">
        <v>43368.0</v>
      </c>
      <c r="B37" s="28">
        <v>8.125</v>
      </c>
      <c r="C37" s="30">
        <v>8.131</v>
      </c>
      <c r="D37" s="30">
        <v>8.141</v>
      </c>
      <c r="E37" s="30">
        <v>8.113</v>
      </c>
      <c r="F37" s="33">
        <v>4.0E-4</v>
      </c>
    </row>
    <row r="38">
      <c r="A38" s="45">
        <v>43369.0</v>
      </c>
      <c r="B38" s="38">
        <v>8.072</v>
      </c>
      <c r="C38" s="30">
        <v>8.124</v>
      </c>
      <c r="D38" s="30">
        <v>8.124</v>
      </c>
      <c r="E38" s="30">
        <v>8.063</v>
      </c>
      <c r="F38" s="41">
        <v>-0.0065</v>
      </c>
    </row>
    <row r="39">
      <c r="A39" s="45">
        <v>43370.0</v>
      </c>
      <c r="B39" s="38">
        <v>8.027</v>
      </c>
      <c r="C39" s="30">
        <v>8.043</v>
      </c>
      <c r="D39" s="30">
        <v>8.073</v>
      </c>
      <c r="E39" s="30">
        <v>8.024</v>
      </c>
      <c r="F39" s="41">
        <v>-0.0056</v>
      </c>
    </row>
    <row r="40">
      <c r="A40" s="45">
        <v>43371.0</v>
      </c>
      <c r="B40" s="38">
        <v>8.024</v>
      </c>
      <c r="C40" s="30">
        <v>8.042</v>
      </c>
      <c r="D40" s="30">
        <v>8.053</v>
      </c>
      <c r="E40" s="30">
        <v>8.015</v>
      </c>
      <c r="F40" s="41">
        <v>-4.0E-4</v>
      </c>
    </row>
    <row r="41">
      <c r="A41" s="24">
        <v>43374.0</v>
      </c>
      <c r="B41" s="38">
        <v>7.988</v>
      </c>
      <c r="C41" s="30">
        <v>7.923</v>
      </c>
      <c r="D41" s="30">
        <v>7.997</v>
      </c>
      <c r="E41" s="30">
        <v>7.923</v>
      </c>
      <c r="F41" s="41">
        <v>-0.0045</v>
      </c>
    </row>
    <row r="42">
      <c r="A42" s="24">
        <v>43376.0</v>
      </c>
      <c r="B42" s="28">
        <v>8.112</v>
      </c>
      <c r="C42" s="30">
        <v>8.057</v>
      </c>
      <c r="D42" s="30">
        <v>8.115</v>
      </c>
      <c r="E42" s="30">
        <v>8.031</v>
      </c>
      <c r="F42" s="33">
        <v>0.0155</v>
      </c>
    </row>
    <row r="43">
      <c r="A43" s="24">
        <v>43377.0</v>
      </c>
      <c r="B43" s="28">
        <v>8.158</v>
      </c>
      <c r="C43" s="30">
        <v>8.193</v>
      </c>
      <c r="D43" s="30">
        <v>8.21</v>
      </c>
      <c r="E43" s="30">
        <v>8.155</v>
      </c>
      <c r="F43" s="33">
        <v>0.0057</v>
      </c>
    </row>
    <row r="44">
      <c r="A44" s="24">
        <v>43378.0</v>
      </c>
      <c r="B44" s="38">
        <v>8.024</v>
      </c>
      <c r="C44" s="30">
        <v>8.158</v>
      </c>
      <c r="D44" s="30">
        <v>8.165</v>
      </c>
      <c r="E44" s="30">
        <v>8.024</v>
      </c>
      <c r="F44" s="41">
        <v>-0.0164</v>
      </c>
    </row>
    <row r="45">
      <c r="A45" s="24">
        <v>43381.0</v>
      </c>
      <c r="B45" s="38">
        <v>7.974</v>
      </c>
      <c r="C45" s="30">
        <v>7.989</v>
      </c>
      <c r="D45" s="30">
        <v>8.017</v>
      </c>
      <c r="E45" s="30">
        <v>7.968</v>
      </c>
      <c r="F45" s="41">
        <v>-0.0062</v>
      </c>
    </row>
    <row r="46">
      <c r="A46" s="24">
        <v>43382.0</v>
      </c>
      <c r="B46" s="28">
        <v>8.076</v>
      </c>
      <c r="C46" s="30">
        <v>7.989</v>
      </c>
      <c r="D46" s="30">
        <v>8.092</v>
      </c>
      <c r="E46" s="30">
        <v>7.989</v>
      </c>
      <c r="F46" s="33">
        <v>0.0128</v>
      </c>
    </row>
    <row r="47">
      <c r="A47" s="45">
        <v>43383.0</v>
      </c>
      <c r="B47" s="38">
        <v>8.031</v>
      </c>
      <c r="C47" s="30">
        <v>8.049</v>
      </c>
      <c r="D47" s="30">
        <v>8.071</v>
      </c>
      <c r="E47" s="30">
        <v>8.027</v>
      </c>
      <c r="F47" s="41">
        <v>-0.0056</v>
      </c>
    </row>
    <row r="48">
      <c r="A48" s="45">
        <v>43384.0</v>
      </c>
      <c r="B48" s="38">
        <v>7.986</v>
      </c>
      <c r="C48" s="30">
        <v>8.001</v>
      </c>
      <c r="D48" s="30">
        <v>8.023</v>
      </c>
      <c r="E48" s="30">
        <v>7.978</v>
      </c>
      <c r="F48" s="41">
        <v>-0.0056</v>
      </c>
    </row>
    <row r="49">
      <c r="A49" s="45">
        <v>43385.0</v>
      </c>
      <c r="B49" s="38">
        <v>7.984</v>
      </c>
      <c r="C49" s="30">
        <v>7.971</v>
      </c>
      <c r="D49" s="30">
        <v>8.008</v>
      </c>
      <c r="E49" s="30">
        <v>7.963</v>
      </c>
      <c r="F49" s="41">
        <v>-3.0E-4</v>
      </c>
    </row>
    <row r="50">
      <c r="A50" s="45">
        <v>43388.0</v>
      </c>
      <c r="B50" s="38">
        <v>7.921</v>
      </c>
      <c r="C50" s="30">
        <v>7.962</v>
      </c>
      <c r="D50" s="30">
        <v>7.983</v>
      </c>
      <c r="E50" s="30">
        <v>7.921</v>
      </c>
      <c r="F50" s="41">
        <v>-0.0079</v>
      </c>
    </row>
    <row r="51">
      <c r="A51" s="45">
        <v>43389.0</v>
      </c>
      <c r="B51" s="38">
        <v>7.872</v>
      </c>
      <c r="C51" s="30">
        <v>7.946</v>
      </c>
      <c r="D51" s="30">
        <v>7.954</v>
      </c>
      <c r="E51" s="30">
        <v>7.87</v>
      </c>
      <c r="F51" s="41">
        <v>-0.0062</v>
      </c>
    </row>
    <row r="52">
      <c r="A52" s="45">
        <v>43390.0</v>
      </c>
      <c r="B52" s="28">
        <v>7.909</v>
      </c>
      <c r="C52" s="30">
        <v>7.885</v>
      </c>
      <c r="D52" s="30">
        <v>7.926</v>
      </c>
      <c r="E52" s="30">
        <v>7.863</v>
      </c>
      <c r="F52" s="33">
        <v>0.0047</v>
      </c>
    </row>
    <row r="53">
      <c r="A53" s="45">
        <v>43392.0</v>
      </c>
      <c r="B53" s="28">
        <v>7.921</v>
      </c>
      <c r="C53" s="30">
        <v>7.891</v>
      </c>
      <c r="D53" s="30">
        <v>7.927</v>
      </c>
      <c r="E53" s="30">
        <v>7.88</v>
      </c>
      <c r="F53" s="33">
        <v>0.0015</v>
      </c>
    </row>
    <row r="54">
      <c r="A54" s="45">
        <v>43395.0</v>
      </c>
      <c r="B54" s="28">
        <v>7.93</v>
      </c>
      <c r="C54" s="30">
        <v>7.935</v>
      </c>
      <c r="D54" s="30">
        <v>7.935</v>
      </c>
      <c r="E54" s="30">
        <v>7.892</v>
      </c>
      <c r="F54" s="33">
        <v>0.0011</v>
      </c>
    </row>
    <row r="55">
      <c r="A55" s="45">
        <v>43396.0</v>
      </c>
      <c r="B55" s="38">
        <v>7.894</v>
      </c>
      <c r="C55" s="30">
        <v>7.937</v>
      </c>
      <c r="D55" s="30">
        <v>7.938</v>
      </c>
      <c r="E55" s="30">
        <v>7.88</v>
      </c>
      <c r="F55" s="41">
        <v>-0.0045</v>
      </c>
    </row>
    <row r="56">
      <c r="A56" s="45">
        <v>43397.0</v>
      </c>
      <c r="B56" s="38">
        <v>7.872</v>
      </c>
      <c r="C56" s="30">
        <v>7.852</v>
      </c>
      <c r="D56" s="30">
        <v>7.878</v>
      </c>
      <c r="E56" s="30">
        <v>7.83</v>
      </c>
      <c r="F56" s="41">
        <v>-0.0028</v>
      </c>
    </row>
    <row r="57">
      <c r="A57" s="45">
        <v>43398.0</v>
      </c>
      <c r="B57" s="38">
        <v>7.867</v>
      </c>
      <c r="C57" s="30">
        <v>7.864</v>
      </c>
      <c r="D57" s="30">
        <v>7.885</v>
      </c>
      <c r="E57" s="30">
        <v>7.845</v>
      </c>
      <c r="F57" s="41">
        <v>-6.0E-4</v>
      </c>
    </row>
    <row r="58">
      <c r="A58" s="45">
        <v>43399.0</v>
      </c>
      <c r="B58" s="28">
        <v>7.877</v>
      </c>
      <c r="C58" s="30">
        <v>7.885</v>
      </c>
      <c r="D58" s="30">
        <v>7.891</v>
      </c>
      <c r="E58" s="30">
        <v>7.861</v>
      </c>
      <c r="F58" s="33">
        <v>0.0013</v>
      </c>
    </row>
    <row r="59">
      <c r="A59" s="45">
        <v>43402.0</v>
      </c>
      <c r="B59" s="38">
        <v>7.81</v>
      </c>
      <c r="C59" s="30">
        <v>7.836</v>
      </c>
      <c r="D59" s="30">
        <v>7.836</v>
      </c>
      <c r="E59" s="30">
        <v>7.797</v>
      </c>
      <c r="F59" s="41">
        <v>-0.0085</v>
      </c>
    </row>
    <row r="60">
      <c r="A60" s="45">
        <v>43403.0</v>
      </c>
      <c r="B60" s="28">
        <v>7.834</v>
      </c>
      <c r="C60" s="30">
        <v>7.825</v>
      </c>
      <c r="D60" s="30">
        <v>7.84</v>
      </c>
      <c r="E60" s="30">
        <v>7.818</v>
      </c>
      <c r="F60" s="33">
        <v>0.0031</v>
      </c>
    </row>
    <row r="61">
      <c r="A61" s="45">
        <v>43404.0</v>
      </c>
      <c r="B61" s="28">
        <v>7.853</v>
      </c>
      <c r="C61" s="30">
        <v>7.881</v>
      </c>
      <c r="D61" s="30">
        <v>7.893</v>
      </c>
      <c r="E61" s="30">
        <v>7.846</v>
      </c>
      <c r="F61" s="33">
        <v>0.0024</v>
      </c>
    </row>
    <row r="62">
      <c r="A62" s="24">
        <v>43405.0</v>
      </c>
      <c r="B62" s="38">
        <v>7.823</v>
      </c>
      <c r="C62" s="30">
        <v>7.831</v>
      </c>
      <c r="D62" s="30">
        <v>7.84</v>
      </c>
      <c r="E62" s="30">
        <v>7.82</v>
      </c>
      <c r="F62" s="41">
        <v>-0.0038</v>
      </c>
    </row>
    <row r="63">
      <c r="A63" s="24">
        <v>43406.0</v>
      </c>
      <c r="B63" s="38">
        <v>7.781</v>
      </c>
      <c r="C63" s="30">
        <v>7.785</v>
      </c>
      <c r="D63" s="30">
        <v>7.793</v>
      </c>
      <c r="E63" s="30">
        <v>7.752</v>
      </c>
      <c r="F63" s="41">
        <v>-0.0054</v>
      </c>
    </row>
    <row r="64">
      <c r="A64" s="24">
        <v>43409.0</v>
      </c>
      <c r="B64" s="28">
        <v>7.808</v>
      </c>
      <c r="C64" s="30">
        <v>7.799</v>
      </c>
      <c r="D64" s="30">
        <v>7.812</v>
      </c>
      <c r="E64" s="30">
        <v>7.791</v>
      </c>
      <c r="F64" s="33">
        <v>0.0035</v>
      </c>
    </row>
    <row r="65">
      <c r="A65" s="24">
        <v>43410.0</v>
      </c>
      <c r="B65" s="38">
        <v>7.796</v>
      </c>
      <c r="C65" s="30">
        <v>7.801</v>
      </c>
      <c r="D65" s="30">
        <v>7.811</v>
      </c>
      <c r="E65" s="30">
        <v>7.791</v>
      </c>
      <c r="F65" s="41">
        <v>-0.0015</v>
      </c>
    </row>
    <row r="66">
      <c r="A66" s="24">
        <v>43413.0</v>
      </c>
      <c r="B66" s="38">
        <v>7.765</v>
      </c>
      <c r="C66" s="30">
        <v>7.766</v>
      </c>
      <c r="D66" s="30">
        <v>7.781</v>
      </c>
      <c r="E66" s="30">
        <v>7.757</v>
      </c>
      <c r="F66" s="41">
        <v>-0.004</v>
      </c>
    </row>
    <row r="67">
      <c r="A67" s="45">
        <v>43416.0</v>
      </c>
      <c r="B67" s="28">
        <v>7.804</v>
      </c>
      <c r="C67" s="30">
        <v>7.789</v>
      </c>
      <c r="D67" s="30">
        <v>7.821</v>
      </c>
      <c r="E67" s="30">
        <v>7.788</v>
      </c>
      <c r="F67" s="33">
        <v>0.005</v>
      </c>
    </row>
    <row r="68">
      <c r="A68" s="45">
        <v>43417.0</v>
      </c>
      <c r="B68" s="38">
        <v>7.762</v>
      </c>
      <c r="C68" s="30">
        <v>7.777</v>
      </c>
      <c r="D68" s="30">
        <v>7.783</v>
      </c>
      <c r="E68" s="30">
        <v>7.757</v>
      </c>
      <c r="F68" s="41">
        <v>-0.0054</v>
      </c>
    </row>
    <row r="69">
      <c r="A69" s="45">
        <v>43418.0</v>
      </c>
      <c r="B69" s="38">
        <v>7.733</v>
      </c>
      <c r="C69" s="30">
        <v>7.724</v>
      </c>
      <c r="D69" s="30">
        <v>7.748</v>
      </c>
      <c r="E69" s="30">
        <v>7.707</v>
      </c>
      <c r="F69" s="41">
        <v>-0.0037</v>
      </c>
    </row>
    <row r="70">
      <c r="A70" s="45">
        <v>43419.0</v>
      </c>
      <c r="B70" s="28">
        <v>7.756</v>
      </c>
      <c r="C70" s="30">
        <v>7.736</v>
      </c>
      <c r="D70" s="30">
        <v>7.76</v>
      </c>
      <c r="E70" s="30">
        <v>7.734</v>
      </c>
      <c r="F70" s="33">
        <v>0.003</v>
      </c>
    </row>
    <row r="71">
      <c r="A71" s="45">
        <v>43420.0</v>
      </c>
      <c r="B71" s="28">
        <v>7.815</v>
      </c>
      <c r="C71" s="30">
        <v>7.775</v>
      </c>
      <c r="D71" s="30">
        <v>7.816</v>
      </c>
      <c r="E71" s="30">
        <v>7.768</v>
      </c>
      <c r="F71" s="33">
        <v>0.0076</v>
      </c>
    </row>
    <row r="72">
      <c r="A72" s="45">
        <v>43423.0</v>
      </c>
      <c r="B72" s="38">
        <v>7.791</v>
      </c>
      <c r="C72" s="30">
        <v>7.82</v>
      </c>
      <c r="D72" s="30">
        <v>7.836</v>
      </c>
      <c r="E72" s="30">
        <v>7.789</v>
      </c>
      <c r="F72" s="41">
        <v>-0.0031</v>
      </c>
    </row>
    <row r="73">
      <c r="A73" s="45">
        <v>43424.0</v>
      </c>
      <c r="B73" s="28">
        <v>7.792</v>
      </c>
      <c r="C73" s="30">
        <v>7.767</v>
      </c>
      <c r="D73" s="30">
        <v>7.795</v>
      </c>
      <c r="E73" s="30">
        <v>7.756</v>
      </c>
      <c r="F73" s="33">
        <v>1.0E-4</v>
      </c>
    </row>
    <row r="74">
      <c r="A74" s="45">
        <v>43426.0</v>
      </c>
      <c r="B74" s="38">
        <v>7.71</v>
      </c>
      <c r="C74" s="30">
        <v>7.754</v>
      </c>
      <c r="D74" s="30">
        <v>7.767</v>
      </c>
      <c r="E74" s="30">
        <v>7.704</v>
      </c>
      <c r="F74" s="41">
        <v>-0.0105</v>
      </c>
    </row>
    <row r="75">
      <c r="A75" s="45">
        <v>43430.0</v>
      </c>
      <c r="B75" s="28">
        <v>7.726</v>
      </c>
      <c r="C75" s="30">
        <v>7.677</v>
      </c>
      <c r="D75" s="30">
        <v>7.738</v>
      </c>
      <c r="E75" s="30">
        <v>7.677</v>
      </c>
      <c r="F75" s="33">
        <v>0.0021</v>
      </c>
    </row>
    <row r="76">
      <c r="A76" s="45">
        <v>43431.0</v>
      </c>
      <c r="B76" s="28">
        <v>7.734</v>
      </c>
      <c r="C76" s="30">
        <v>7.747</v>
      </c>
      <c r="D76" s="30">
        <v>7.75</v>
      </c>
      <c r="E76" s="30">
        <v>7.713</v>
      </c>
      <c r="F76" s="33">
        <v>0.001</v>
      </c>
    </row>
    <row r="77">
      <c r="A77" s="45">
        <v>43432.0</v>
      </c>
      <c r="B77" s="38">
        <v>7.644</v>
      </c>
      <c r="C77" s="30">
        <v>7.688</v>
      </c>
      <c r="D77" s="30">
        <v>7.698</v>
      </c>
      <c r="E77" s="30">
        <v>7.644</v>
      </c>
      <c r="F77" s="41">
        <v>-0.0116</v>
      </c>
    </row>
    <row r="78">
      <c r="A78" s="45">
        <v>43433.0</v>
      </c>
      <c r="B78" s="38">
        <v>7.608</v>
      </c>
      <c r="C78" s="30">
        <v>7.62</v>
      </c>
      <c r="D78" s="30">
        <v>7.62</v>
      </c>
      <c r="E78" s="30">
        <v>7.576</v>
      </c>
      <c r="F78" s="41">
        <v>-0.0047</v>
      </c>
    </row>
    <row r="79">
      <c r="A79" s="45">
        <v>43434.0</v>
      </c>
      <c r="B79" s="38">
        <v>7.607</v>
      </c>
      <c r="C79" s="30">
        <v>7.627</v>
      </c>
      <c r="D79" s="30">
        <v>7.63</v>
      </c>
      <c r="E79" s="30">
        <v>7.596</v>
      </c>
      <c r="F79" s="41">
        <v>-1.0E-4</v>
      </c>
    </row>
    <row r="80">
      <c r="A80" s="24">
        <v>43437.0</v>
      </c>
      <c r="B80" s="28">
        <v>7.626</v>
      </c>
      <c r="C80" s="30">
        <v>7.646</v>
      </c>
      <c r="D80" s="30">
        <v>7.653</v>
      </c>
      <c r="E80" s="30">
        <v>7.616</v>
      </c>
      <c r="F80" s="33">
        <v>0.0025</v>
      </c>
    </row>
    <row r="81">
      <c r="A81" s="24">
        <v>43438.0</v>
      </c>
      <c r="B81" s="38">
        <v>7.574</v>
      </c>
      <c r="C81" s="30">
        <v>7.618</v>
      </c>
      <c r="D81" s="30">
        <v>7.618</v>
      </c>
      <c r="E81" s="30">
        <v>7.566</v>
      </c>
      <c r="F81" s="41">
        <v>-0.0068</v>
      </c>
    </row>
    <row r="82">
      <c r="A82" s="24">
        <v>43439.0</v>
      </c>
      <c r="B82" s="38">
        <v>7.44</v>
      </c>
      <c r="C82" s="30">
        <v>7.562</v>
      </c>
      <c r="D82" s="30">
        <v>7.573</v>
      </c>
      <c r="E82" s="30">
        <v>7.435</v>
      </c>
      <c r="F82" s="41">
        <v>-0.0177</v>
      </c>
    </row>
    <row r="83">
      <c r="A83" s="24">
        <v>43440.0</v>
      </c>
      <c r="B83" s="38">
        <v>7.423</v>
      </c>
      <c r="C83" s="30">
        <v>7.412</v>
      </c>
      <c r="D83" s="30">
        <v>7.443</v>
      </c>
      <c r="E83" s="30">
        <v>7.371</v>
      </c>
      <c r="F83" s="41">
        <v>-0.0023</v>
      </c>
    </row>
    <row r="84">
      <c r="A84" s="24">
        <v>43441.0</v>
      </c>
      <c r="B84" s="28">
        <v>7.464</v>
      </c>
      <c r="C84" s="30">
        <v>7.401</v>
      </c>
      <c r="D84" s="30">
        <v>7.48</v>
      </c>
      <c r="E84" s="30">
        <v>7.389</v>
      </c>
      <c r="F84" s="33">
        <v>0.0055</v>
      </c>
    </row>
    <row r="85">
      <c r="A85" s="45">
        <v>43444.0</v>
      </c>
      <c r="B85" s="28">
        <v>7.587</v>
      </c>
      <c r="C85" s="30">
        <v>7.505</v>
      </c>
      <c r="D85" s="30">
        <v>7.598</v>
      </c>
      <c r="E85" s="30">
        <v>7.493</v>
      </c>
      <c r="F85" s="33">
        <v>0.0165</v>
      </c>
    </row>
    <row r="86">
      <c r="A86" s="45">
        <v>43445.0</v>
      </c>
      <c r="B86" s="38">
        <v>7.528</v>
      </c>
      <c r="C86" s="30">
        <v>7.695</v>
      </c>
      <c r="D86" s="30">
        <v>7.703</v>
      </c>
      <c r="E86" s="30">
        <v>7.512</v>
      </c>
      <c r="F86" s="41">
        <v>-0.0078</v>
      </c>
    </row>
    <row r="87">
      <c r="A87" s="45">
        <v>43446.0</v>
      </c>
      <c r="B87" s="38">
        <v>7.411</v>
      </c>
      <c r="C87" s="30">
        <v>7.476</v>
      </c>
      <c r="D87" s="30">
        <v>7.479</v>
      </c>
      <c r="E87" s="30">
        <v>7.41</v>
      </c>
      <c r="F87" s="41">
        <v>-0.0155</v>
      </c>
    </row>
    <row r="88">
      <c r="A88" s="45">
        <v>43447.0</v>
      </c>
      <c r="B88" s="38">
        <v>7.408</v>
      </c>
      <c r="C88" s="30">
        <v>7.389</v>
      </c>
      <c r="D88" s="30">
        <v>7.437</v>
      </c>
      <c r="E88" s="30">
        <v>7.382</v>
      </c>
      <c r="F88" s="41">
        <v>-4.0E-4</v>
      </c>
    </row>
    <row r="89">
      <c r="A89" s="45">
        <v>43448.0</v>
      </c>
      <c r="B89" s="28">
        <v>7.441</v>
      </c>
      <c r="C89" s="30">
        <v>7.429</v>
      </c>
      <c r="D89" s="30">
        <v>7.464</v>
      </c>
      <c r="E89" s="30">
        <v>7.425</v>
      </c>
      <c r="F89" s="33">
        <v>0.0045</v>
      </c>
    </row>
    <row r="90">
      <c r="A90" s="45">
        <v>43451.0</v>
      </c>
      <c r="B90" s="28">
        <v>7.461</v>
      </c>
      <c r="C90" s="30">
        <v>7.443</v>
      </c>
      <c r="D90" s="30">
        <v>7.463</v>
      </c>
      <c r="E90" s="30">
        <v>7.423</v>
      </c>
      <c r="F90" s="33">
        <v>0.0027</v>
      </c>
    </row>
    <row r="91">
      <c r="A91" s="45">
        <v>43452.0</v>
      </c>
      <c r="B91" s="38">
        <v>7.345</v>
      </c>
      <c r="C91" s="30">
        <v>7.427</v>
      </c>
      <c r="D91" s="30">
        <v>7.438</v>
      </c>
      <c r="E91" s="30">
        <v>7.345</v>
      </c>
      <c r="F91" s="41">
        <v>-0.0155</v>
      </c>
    </row>
    <row r="92">
      <c r="A92" s="45">
        <v>43453.0</v>
      </c>
      <c r="B92" s="38">
        <v>7.219</v>
      </c>
      <c r="C92" s="30">
        <v>7.241</v>
      </c>
      <c r="D92" s="30">
        <v>7.288</v>
      </c>
      <c r="E92" s="30">
        <v>7.218</v>
      </c>
      <c r="F92" s="41">
        <v>-0.0172</v>
      </c>
    </row>
    <row r="93">
      <c r="A93" s="45">
        <v>43454.0</v>
      </c>
      <c r="B93" s="28">
        <v>7.272</v>
      </c>
      <c r="C93" s="30">
        <v>7.253</v>
      </c>
      <c r="D93" s="30">
        <v>7.275</v>
      </c>
      <c r="E93" s="30">
        <v>7.233</v>
      </c>
      <c r="F93" s="33">
        <v>0.0073</v>
      </c>
    </row>
    <row r="94">
      <c r="A94" s="45">
        <v>43455.0</v>
      </c>
      <c r="B94" s="28">
        <v>7.276</v>
      </c>
      <c r="C94" s="30">
        <v>7.269</v>
      </c>
      <c r="D94" s="30">
        <v>7.316</v>
      </c>
      <c r="E94" s="30">
        <v>7.259</v>
      </c>
      <c r="F94" s="33">
        <v>6.0E-4</v>
      </c>
    </row>
    <row r="95">
      <c r="A95" s="45">
        <v>43458.0</v>
      </c>
      <c r="B95" s="28">
        <v>7.287</v>
      </c>
      <c r="C95" s="30">
        <v>7.298</v>
      </c>
      <c r="D95" s="30">
        <v>7.306</v>
      </c>
      <c r="E95" s="30">
        <v>7.278</v>
      </c>
      <c r="F95" s="33">
        <v>0.0015</v>
      </c>
    </row>
    <row r="96">
      <c r="A96" s="45">
        <v>43460.0</v>
      </c>
      <c r="B96" s="38">
        <v>7.263</v>
      </c>
      <c r="C96" s="30">
        <v>7.249</v>
      </c>
      <c r="D96" s="30">
        <v>7.267</v>
      </c>
      <c r="E96" s="30">
        <v>7.228</v>
      </c>
      <c r="F96" s="41">
        <v>-0.0033</v>
      </c>
    </row>
    <row r="97">
      <c r="A97" s="45">
        <v>43461.0</v>
      </c>
      <c r="B97" s="28">
        <v>7.277</v>
      </c>
      <c r="C97" s="30">
        <v>7.307</v>
      </c>
      <c r="D97" s="30">
        <v>7.307</v>
      </c>
      <c r="E97" s="30">
        <v>7.235</v>
      </c>
      <c r="F97" s="33">
        <v>0.0019</v>
      </c>
    </row>
    <row r="98">
      <c r="A98" s="45">
        <v>43462.0</v>
      </c>
      <c r="B98" s="28">
        <v>7.391</v>
      </c>
      <c r="C98" s="30">
        <v>7.274</v>
      </c>
      <c r="D98" s="30">
        <v>7.393</v>
      </c>
      <c r="E98" s="30">
        <v>7.266</v>
      </c>
      <c r="F98" s="33">
        <v>0.0157</v>
      </c>
    </row>
    <row r="99">
      <c r="A99" s="45">
        <v>43465.0</v>
      </c>
      <c r="B99" s="38">
        <v>7.37</v>
      </c>
      <c r="C99" s="30">
        <v>7.368</v>
      </c>
      <c r="D99" s="30">
        <v>7.389</v>
      </c>
      <c r="E99" s="30">
        <v>7.339</v>
      </c>
      <c r="F99" s="41">
        <v>-0.0028</v>
      </c>
    </row>
    <row r="100">
      <c r="A100" s="24">
        <v>43466.0</v>
      </c>
      <c r="B100" s="28">
        <v>7.418</v>
      </c>
      <c r="C100" s="30">
        <v>7.401</v>
      </c>
      <c r="D100" s="30">
        <v>7.447</v>
      </c>
      <c r="E100" s="30">
        <v>7.385</v>
      </c>
      <c r="F100" s="33">
        <v>0.0065</v>
      </c>
    </row>
    <row r="101">
      <c r="A101" s="24">
        <v>43467.0</v>
      </c>
      <c r="B101" s="38">
        <v>7.354</v>
      </c>
      <c r="C101" s="30">
        <v>7.409</v>
      </c>
      <c r="D101" s="30">
        <v>7.415</v>
      </c>
      <c r="E101" s="30">
        <v>7.35</v>
      </c>
      <c r="F101" s="41">
        <v>-0.0086</v>
      </c>
    </row>
    <row r="102">
      <c r="A102" s="24">
        <v>43468.0</v>
      </c>
      <c r="B102" s="28">
        <v>7.427</v>
      </c>
      <c r="C102" s="30">
        <v>7.397</v>
      </c>
      <c r="D102" s="30">
        <v>7.433</v>
      </c>
      <c r="E102" s="30">
        <v>7.381</v>
      </c>
      <c r="F102" s="33">
        <v>0.0099</v>
      </c>
    </row>
    <row r="103">
      <c r="A103" s="24">
        <v>43469.0</v>
      </c>
      <c r="B103" s="28">
        <v>7.448</v>
      </c>
      <c r="C103" s="30">
        <v>7.407</v>
      </c>
      <c r="D103" s="30">
        <v>7.475</v>
      </c>
      <c r="E103" s="30">
        <v>7.406</v>
      </c>
      <c r="F103" s="33">
        <v>0.0028</v>
      </c>
    </row>
    <row r="104">
      <c r="A104" s="24">
        <v>43472.0</v>
      </c>
      <c r="B104" s="28">
        <v>7.508</v>
      </c>
      <c r="C104" s="30">
        <v>7.467</v>
      </c>
      <c r="D104" s="30">
        <v>7.519</v>
      </c>
      <c r="E104" s="30">
        <v>7.439</v>
      </c>
      <c r="F104" s="33">
        <v>0.0081</v>
      </c>
    </row>
    <row r="105">
      <c r="A105" s="24">
        <v>43473.0</v>
      </c>
      <c r="B105" s="38">
        <v>7.454</v>
      </c>
      <c r="C105" s="30">
        <v>7.503</v>
      </c>
      <c r="D105" s="30">
        <v>7.534</v>
      </c>
      <c r="E105" s="30">
        <v>7.439</v>
      </c>
      <c r="F105" s="41">
        <v>-0.0072</v>
      </c>
    </row>
    <row r="106">
      <c r="A106" s="24">
        <v>43474.0</v>
      </c>
      <c r="B106" s="28">
        <v>7.47</v>
      </c>
      <c r="C106" s="30">
        <v>7.476</v>
      </c>
      <c r="D106" s="30">
        <v>7.482</v>
      </c>
      <c r="E106" s="30">
        <v>7.444</v>
      </c>
      <c r="F106" s="33">
        <v>0.0021</v>
      </c>
    </row>
    <row r="107">
      <c r="A107" s="45">
        <v>43475.0</v>
      </c>
      <c r="B107" s="28">
        <v>7.476</v>
      </c>
      <c r="C107" s="30">
        <v>7.488</v>
      </c>
      <c r="D107" s="30">
        <v>7.516</v>
      </c>
      <c r="E107" s="30">
        <v>7.466</v>
      </c>
      <c r="F107" s="33">
        <v>8.0E-4</v>
      </c>
    </row>
    <row r="108">
      <c r="A108" s="45">
        <v>43476.0</v>
      </c>
      <c r="B108" s="28">
        <v>7.503</v>
      </c>
      <c r="C108" s="30">
        <v>7.479</v>
      </c>
      <c r="D108" s="30">
        <v>7.519</v>
      </c>
      <c r="E108" s="30">
        <v>7.449</v>
      </c>
      <c r="F108" s="33">
        <v>0.0036</v>
      </c>
    </row>
    <row r="109">
      <c r="A109" s="45">
        <v>43479.0</v>
      </c>
      <c r="B109" s="38">
        <v>7.431</v>
      </c>
      <c r="C109" s="30">
        <v>7.474</v>
      </c>
      <c r="D109" s="30">
        <v>7.474</v>
      </c>
      <c r="E109" s="30">
        <v>7.423</v>
      </c>
      <c r="F109" s="41">
        <v>-0.0096</v>
      </c>
    </row>
    <row r="110">
      <c r="A110" s="45">
        <v>43480.0</v>
      </c>
      <c r="B110" s="28">
        <v>7.473</v>
      </c>
      <c r="C110" s="30">
        <v>7.472</v>
      </c>
      <c r="D110" s="30">
        <v>7.49</v>
      </c>
      <c r="E110" s="30">
        <v>7.457</v>
      </c>
      <c r="F110" s="33">
        <v>0.0057</v>
      </c>
    </row>
    <row r="111">
      <c r="A111" s="45">
        <v>43481.0</v>
      </c>
      <c r="B111" s="28">
        <v>7.563</v>
      </c>
      <c r="C111" s="30">
        <v>7.479</v>
      </c>
      <c r="D111" s="30">
        <v>7.577</v>
      </c>
      <c r="E111" s="30">
        <v>7.465</v>
      </c>
      <c r="F111" s="33">
        <v>0.012</v>
      </c>
    </row>
    <row r="112">
      <c r="A112" s="45">
        <v>43482.0</v>
      </c>
      <c r="B112" s="38">
        <v>7.549</v>
      </c>
      <c r="C112" s="30">
        <v>7.573</v>
      </c>
      <c r="D112" s="30">
        <v>7.587</v>
      </c>
      <c r="E112" s="30">
        <v>7.533</v>
      </c>
      <c r="F112" s="41">
        <v>-0.0019</v>
      </c>
    </row>
    <row r="113">
      <c r="A113" s="45">
        <v>43483.0</v>
      </c>
      <c r="B113" s="28">
        <v>7.596</v>
      </c>
      <c r="C113" s="30">
        <v>7.593</v>
      </c>
      <c r="D113" s="30">
        <v>7.609</v>
      </c>
      <c r="E113" s="30">
        <v>7.567</v>
      </c>
      <c r="F113" s="33">
        <v>0.0062</v>
      </c>
    </row>
    <row r="114">
      <c r="A114" s="45">
        <v>43486.0</v>
      </c>
      <c r="B114" s="38">
        <v>7.569</v>
      </c>
      <c r="C114" s="30">
        <v>7.628</v>
      </c>
      <c r="D114" s="30">
        <v>7.65</v>
      </c>
      <c r="E114" s="30">
        <v>7.545</v>
      </c>
      <c r="F114" s="41">
        <v>-0.0036</v>
      </c>
    </row>
    <row r="115">
      <c r="A115" s="45">
        <v>43487.0</v>
      </c>
      <c r="B115" s="38">
        <v>7.533</v>
      </c>
      <c r="C115" s="30">
        <v>7.552</v>
      </c>
      <c r="D115" s="30">
        <v>7.555</v>
      </c>
      <c r="E115" s="30">
        <v>7.516</v>
      </c>
      <c r="F115" s="41">
        <v>-0.0048</v>
      </c>
    </row>
    <row r="116">
      <c r="A116" s="45">
        <v>43488.0</v>
      </c>
      <c r="B116" s="28">
        <v>7.577</v>
      </c>
      <c r="C116" s="30">
        <v>7.52</v>
      </c>
      <c r="D116" s="30">
        <v>7.585</v>
      </c>
      <c r="E116" s="30">
        <v>7.511</v>
      </c>
      <c r="F116" s="33">
        <v>0.0058</v>
      </c>
    </row>
    <row r="117">
      <c r="A117" s="45">
        <v>43489.0</v>
      </c>
      <c r="B117" s="38">
        <v>7.557</v>
      </c>
      <c r="C117" s="30">
        <v>7.569</v>
      </c>
      <c r="D117" s="30">
        <v>7.604</v>
      </c>
      <c r="E117" s="30">
        <v>7.555</v>
      </c>
      <c r="F117" s="41">
        <v>-0.0026</v>
      </c>
    </row>
    <row r="118">
      <c r="A118" s="45">
        <v>43490.0</v>
      </c>
      <c r="B118" s="38">
        <v>7.546</v>
      </c>
      <c r="C118" s="30">
        <v>7.578</v>
      </c>
      <c r="D118" s="30">
        <v>7.578</v>
      </c>
      <c r="E118" s="30">
        <v>7.524</v>
      </c>
      <c r="F118" s="41">
        <v>-0.0015</v>
      </c>
    </row>
    <row r="119">
      <c r="A119" s="45">
        <v>43493.0</v>
      </c>
      <c r="B119" s="38">
        <v>7.541</v>
      </c>
      <c r="C119" s="30">
        <v>7.558</v>
      </c>
      <c r="D119" s="30">
        <v>7.562</v>
      </c>
      <c r="E119" s="30">
        <v>7.535</v>
      </c>
      <c r="F119" s="41">
        <v>-7.0E-4</v>
      </c>
    </row>
    <row r="120">
      <c r="A120" s="45">
        <v>43494.0</v>
      </c>
      <c r="B120" s="38">
        <v>7.525</v>
      </c>
      <c r="C120" s="30">
        <v>7.533</v>
      </c>
      <c r="D120" s="30">
        <v>7.551</v>
      </c>
      <c r="E120" s="30">
        <v>7.522</v>
      </c>
      <c r="F120" s="41">
        <v>-0.0021</v>
      </c>
    </row>
    <row r="121">
      <c r="A121" s="45">
        <v>43495.0</v>
      </c>
      <c r="B121" s="28">
        <v>7.551</v>
      </c>
      <c r="C121" s="30">
        <v>7.541</v>
      </c>
      <c r="D121" s="30">
        <v>7.556</v>
      </c>
      <c r="E121" s="30">
        <v>7.533</v>
      </c>
      <c r="F121" s="33">
        <v>0.0035</v>
      </c>
    </row>
    <row r="122">
      <c r="A122" s="45">
        <v>43496.0</v>
      </c>
      <c r="B122" s="38">
        <v>7.483</v>
      </c>
      <c r="C122" s="30">
        <v>7.532</v>
      </c>
      <c r="D122" s="30">
        <v>7.551</v>
      </c>
      <c r="E122" s="30">
        <v>7.482</v>
      </c>
      <c r="F122" s="41">
        <v>-0.009</v>
      </c>
    </row>
    <row r="123">
      <c r="A123" s="24">
        <v>43497.0</v>
      </c>
      <c r="B123" s="28">
        <v>7.61</v>
      </c>
      <c r="C123" s="30">
        <v>7.47</v>
      </c>
      <c r="D123" s="30">
        <v>7.651</v>
      </c>
      <c r="E123" s="30">
        <v>7.425</v>
      </c>
      <c r="F123" s="33">
        <v>0.017</v>
      </c>
    </row>
    <row r="124">
      <c r="A124" s="24">
        <v>43500.0</v>
      </c>
      <c r="B124" s="28">
        <v>7.672</v>
      </c>
      <c r="C124" s="30">
        <v>7.65</v>
      </c>
      <c r="D124" s="30">
        <v>7.674</v>
      </c>
      <c r="E124" s="30">
        <v>7.632</v>
      </c>
      <c r="F124" s="33">
        <v>0.0081</v>
      </c>
    </row>
    <row r="125">
      <c r="A125" s="24">
        <v>43501.0</v>
      </c>
      <c r="B125" s="38">
        <v>7.615</v>
      </c>
      <c r="C125" s="30">
        <v>7.669</v>
      </c>
      <c r="D125" s="30">
        <v>7.672</v>
      </c>
      <c r="E125" s="30">
        <v>7.609</v>
      </c>
      <c r="F125" s="41">
        <v>-0.0074</v>
      </c>
    </row>
    <row r="126">
      <c r="A126" s="24">
        <v>43502.0</v>
      </c>
      <c r="B126" s="38">
        <v>7.565</v>
      </c>
      <c r="C126" s="30">
        <v>7.602</v>
      </c>
      <c r="D126" s="30">
        <v>7.602</v>
      </c>
      <c r="E126" s="30">
        <v>7.565</v>
      </c>
      <c r="F126" s="41">
        <v>-0.0066</v>
      </c>
    </row>
    <row r="127">
      <c r="A127" s="24">
        <v>43503.0</v>
      </c>
      <c r="B127" s="38">
        <v>7.501</v>
      </c>
      <c r="C127" s="30">
        <v>7.573</v>
      </c>
      <c r="D127" s="30">
        <v>7.588</v>
      </c>
      <c r="E127" s="30">
        <v>7.47</v>
      </c>
      <c r="F127" s="41">
        <v>-0.0085</v>
      </c>
    </row>
    <row r="128">
      <c r="A128" s="24">
        <v>43504.0</v>
      </c>
      <c r="B128" s="28">
        <v>7.524</v>
      </c>
      <c r="C128" s="30">
        <v>7.488</v>
      </c>
      <c r="D128" s="30">
        <v>7.531</v>
      </c>
      <c r="E128" s="30">
        <v>7.459</v>
      </c>
      <c r="F128" s="33">
        <v>0.0031</v>
      </c>
    </row>
    <row r="129">
      <c r="A129" s="45">
        <v>43507.0</v>
      </c>
      <c r="B129" s="28">
        <v>7.529</v>
      </c>
      <c r="C129" s="30">
        <v>7.524</v>
      </c>
      <c r="D129" s="30">
        <v>7.548</v>
      </c>
      <c r="E129" s="30">
        <v>7.509</v>
      </c>
      <c r="F129" s="33">
        <v>7.0E-4</v>
      </c>
    </row>
    <row r="130">
      <c r="A130" s="45">
        <v>43508.0</v>
      </c>
      <c r="B130" s="28">
        <v>7.534</v>
      </c>
      <c r="C130" s="30">
        <v>7.54</v>
      </c>
      <c r="D130" s="30">
        <v>7.54</v>
      </c>
      <c r="E130" s="30">
        <v>7.51</v>
      </c>
      <c r="F130" s="33">
        <v>7.0E-4</v>
      </c>
    </row>
    <row r="131">
      <c r="A131" s="45">
        <v>43509.0</v>
      </c>
      <c r="B131" s="38">
        <v>7.466</v>
      </c>
      <c r="C131" s="30">
        <v>7.469</v>
      </c>
      <c r="D131" s="30">
        <v>7.479</v>
      </c>
      <c r="E131" s="30">
        <v>7.436</v>
      </c>
      <c r="F131" s="41">
        <v>-0.009</v>
      </c>
    </row>
    <row r="132">
      <c r="A132" s="45">
        <v>43510.0</v>
      </c>
      <c r="B132" s="28">
        <v>7.521</v>
      </c>
      <c r="C132" s="30">
        <v>7.485</v>
      </c>
      <c r="D132" s="30">
        <v>7.524</v>
      </c>
      <c r="E132" s="30">
        <v>7.483</v>
      </c>
      <c r="F132" s="33">
        <v>0.0074</v>
      </c>
    </row>
    <row r="133">
      <c r="A133" s="45">
        <v>43511.0</v>
      </c>
      <c r="B133" s="28">
        <v>7.577</v>
      </c>
      <c r="C133" s="30">
        <v>7.539</v>
      </c>
      <c r="D133" s="30">
        <v>7.584</v>
      </c>
      <c r="E133" s="30">
        <v>7.534</v>
      </c>
      <c r="F133" s="33">
        <v>0.0074</v>
      </c>
    </row>
    <row r="134">
      <c r="A134" s="45">
        <v>43514.0</v>
      </c>
      <c r="B134" s="28">
        <v>7.58</v>
      </c>
      <c r="C134" s="30">
        <v>7.601</v>
      </c>
      <c r="D134" s="30">
        <v>7.601</v>
      </c>
      <c r="E134" s="30">
        <v>7.565</v>
      </c>
      <c r="F134" s="33">
        <v>4.0E-4</v>
      </c>
    </row>
    <row r="135">
      <c r="A135" s="45">
        <v>43516.0</v>
      </c>
      <c r="B135" s="38">
        <v>7.545</v>
      </c>
      <c r="C135" s="30">
        <v>7.571</v>
      </c>
      <c r="D135" s="30">
        <v>7.572</v>
      </c>
      <c r="E135" s="30">
        <v>7.541</v>
      </c>
      <c r="F135" s="41">
        <v>-0.0046</v>
      </c>
    </row>
    <row r="136">
      <c r="A136" s="45">
        <v>43517.0</v>
      </c>
      <c r="B136" s="38">
        <v>7.544</v>
      </c>
      <c r="C136" s="30">
        <v>7.573</v>
      </c>
      <c r="D136" s="30">
        <v>7.573</v>
      </c>
      <c r="E136" s="30">
        <v>7.543</v>
      </c>
      <c r="F136" s="41">
        <v>-1.0E-4</v>
      </c>
    </row>
    <row r="137">
      <c r="A137" s="45">
        <v>43518.0</v>
      </c>
      <c r="B137" s="28">
        <v>7.605</v>
      </c>
      <c r="C137" s="30">
        <v>7.544</v>
      </c>
      <c r="D137" s="30">
        <v>7.61</v>
      </c>
      <c r="E137" s="30">
        <v>7.544</v>
      </c>
      <c r="F137" s="33">
        <v>0.0081</v>
      </c>
    </row>
    <row r="138">
      <c r="A138" s="45">
        <v>43521.0</v>
      </c>
      <c r="B138" s="38">
        <v>7.584</v>
      </c>
      <c r="C138" s="30">
        <v>7.591</v>
      </c>
      <c r="D138" s="30">
        <v>7.611</v>
      </c>
      <c r="E138" s="30">
        <v>7.582</v>
      </c>
      <c r="F138" s="41">
        <v>-0.0028</v>
      </c>
    </row>
    <row r="139">
      <c r="A139" s="45">
        <v>43522.0</v>
      </c>
      <c r="B139" s="28">
        <v>7.587</v>
      </c>
      <c r="C139" s="30">
        <v>7.624</v>
      </c>
      <c r="D139" s="30">
        <v>7.624</v>
      </c>
      <c r="E139" s="30">
        <v>7.578</v>
      </c>
      <c r="F139" s="33">
        <v>4.0E-4</v>
      </c>
    </row>
    <row r="140">
      <c r="A140" s="45">
        <v>43523.0</v>
      </c>
      <c r="B140" s="28">
        <v>7.672</v>
      </c>
      <c r="C140" s="30">
        <v>7.608</v>
      </c>
      <c r="D140" s="30">
        <v>7.699</v>
      </c>
      <c r="E140" s="30">
        <v>7.591</v>
      </c>
      <c r="F140" s="33">
        <v>0.0112</v>
      </c>
    </row>
    <row r="141">
      <c r="A141" s="45">
        <v>43524.0</v>
      </c>
      <c r="B141" s="38">
        <v>7.591</v>
      </c>
      <c r="C141" s="30">
        <v>7.679</v>
      </c>
      <c r="D141" s="30">
        <v>7.679</v>
      </c>
      <c r="E141" s="30">
        <v>7.591</v>
      </c>
      <c r="F141" s="41">
        <v>-0.0106</v>
      </c>
    </row>
    <row r="142">
      <c r="A142" s="24">
        <v>43525.0</v>
      </c>
      <c r="B142" s="38">
        <v>7.556</v>
      </c>
      <c r="C142" s="30">
        <v>7.588</v>
      </c>
      <c r="D142" s="30">
        <v>7.589</v>
      </c>
      <c r="E142" s="30">
        <v>7.545</v>
      </c>
      <c r="F142" s="41">
        <v>-0.0046</v>
      </c>
    </row>
    <row r="143">
      <c r="A143" s="24">
        <v>43529.0</v>
      </c>
      <c r="B143" s="38">
        <v>7.556</v>
      </c>
      <c r="C143" s="30">
        <v>7.55</v>
      </c>
      <c r="D143" s="30">
        <v>7.561</v>
      </c>
      <c r="E143" s="30">
        <v>7.53</v>
      </c>
      <c r="F143" s="41">
        <v>0.0</v>
      </c>
    </row>
    <row r="144">
      <c r="A144" s="24">
        <v>43530.0</v>
      </c>
      <c r="B144" s="28">
        <v>7.572</v>
      </c>
      <c r="C144" s="30">
        <v>7.554</v>
      </c>
      <c r="D144" s="30">
        <v>7.587</v>
      </c>
      <c r="E144" s="30">
        <v>7.548</v>
      </c>
      <c r="F144" s="33">
        <v>0.0021</v>
      </c>
    </row>
    <row r="145">
      <c r="A145" s="24">
        <v>43531.0</v>
      </c>
      <c r="B145" s="28">
        <v>7.58</v>
      </c>
      <c r="C145" s="30">
        <v>7.575</v>
      </c>
      <c r="D145" s="30">
        <v>7.58</v>
      </c>
      <c r="E145" s="30">
        <v>7.561</v>
      </c>
      <c r="F145" s="33">
        <v>0.0011</v>
      </c>
    </row>
    <row r="146">
      <c r="A146" s="24">
        <v>43532.0</v>
      </c>
      <c r="B146" s="38">
        <v>7.532</v>
      </c>
      <c r="C146" s="30">
        <v>7.565</v>
      </c>
      <c r="D146" s="30">
        <v>7.571</v>
      </c>
      <c r="E146" s="30">
        <v>7.524</v>
      </c>
      <c r="F146" s="41">
        <v>-0.0063</v>
      </c>
    </row>
    <row r="147">
      <c r="A147" s="45">
        <v>43535.0</v>
      </c>
      <c r="B147" s="38">
        <v>7.512</v>
      </c>
      <c r="C147" s="30">
        <v>7.54</v>
      </c>
      <c r="D147" s="30">
        <v>7.542</v>
      </c>
      <c r="E147" s="30">
        <v>7.503</v>
      </c>
      <c r="F147" s="41">
        <v>-0.0027</v>
      </c>
    </row>
    <row r="148">
      <c r="A148" s="45">
        <v>43536.0</v>
      </c>
      <c r="B148" s="28">
        <v>7.513</v>
      </c>
      <c r="C148" s="30">
        <v>7.527</v>
      </c>
      <c r="D148" s="30">
        <v>7.536</v>
      </c>
      <c r="E148" s="30">
        <v>7.493</v>
      </c>
      <c r="F148" s="33">
        <v>1.0E-4</v>
      </c>
    </row>
    <row r="149">
      <c r="A149" s="45">
        <v>43537.0</v>
      </c>
      <c r="B149" s="28">
        <v>7.548</v>
      </c>
      <c r="C149" s="30">
        <v>7.534</v>
      </c>
      <c r="D149" s="30">
        <v>7.553</v>
      </c>
      <c r="E149" s="30">
        <v>7.523</v>
      </c>
      <c r="F149" s="33">
        <v>0.0047</v>
      </c>
    </row>
    <row r="150">
      <c r="A150" s="45">
        <v>43538.0</v>
      </c>
      <c r="B150" s="28">
        <v>7.553</v>
      </c>
      <c r="C150" s="30">
        <v>7.59</v>
      </c>
      <c r="D150" s="30">
        <v>7.59</v>
      </c>
      <c r="E150" s="30">
        <v>7.536</v>
      </c>
      <c r="F150" s="33">
        <v>7.0E-4</v>
      </c>
    </row>
    <row r="151">
      <c r="A151" s="45">
        <v>43539.0</v>
      </c>
      <c r="B151" s="38">
        <v>7.502</v>
      </c>
      <c r="C151" s="30">
        <v>7.558</v>
      </c>
      <c r="D151" s="30">
        <v>7.561</v>
      </c>
      <c r="E151" s="30">
        <v>7.5</v>
      </c>
      <c r="F151" s="41">
        <v>-0.0068</v>
      </c>
    </row>
    <row r="152">
      <c r="A152" s="45">
        <v>43542.0</v>
      </c>
      <c r="B152" s="38">
        <v>7.48</v>
      </c>
      <c r="C152" s="30">
        <v>7.477</v>
      </c>
      <c r="D152" s="30">
        <v>7.486</v>
      </c>
      <c r="E152" s="30">
        <v>7.452</v>
      </c>
      <c r="F152" s="41">
        <v>-0.0029</v>
      </c>
    </row>
    <row r="153">
      <c r="A153" s="45">
        <v>43543.0</v>
      </c>
      <c r="B153" s="28">
        <v>7.536</v>
      </c>
      <c r="C153" s="30">
        <v>7.494</v>
      </c>
      <c r="D153" s="30">
        <v>7.545</v>
      </c>
      <c r="E153" s="30">
        <v>7.479</v>
      </c>
      <c r="F153" s="33">
        <v>0.0075</v>
      </c>
    </row>
    <row r="154">
      <c r="A154" s="45">
        <v>43544.0</v>
      </c>
      <c r="B154" s="38">
        <v>7.517</v>
      </c>
      <c r="C154" s="30">
        <v>7.535</v>
      </c>
      <c r="D154" s="30">
        <v>7.544</v>
      </c>
      <c r="E154" s="30">
        <v>7.513</v>
      </c>
      <c r="F154" s="41">
        <v>-0.0025</v>
      </c>
    </row>
    <row r="155">
      <c r="A155" s="45">
        <v>43546.0</v>
      </c>
      <c r="B155" s="38">
        <v>7.504</v>
      </c>
      <c r="C155" s="30">
        <v>7.477</v>
      </c>
      <c r="D155" s="30">
        <v>7.506</v>
      </c>
      <c r="E155" s="30">
        <v>7.474</v>
      </c>
      <c r="F155" s="41">
        <v>-0.0017</v>
      </c>
    </row>
    <row r="156">
      <c r="A156" s="45">
        <v>43549.0</v>
      </c>
      <c r="B156" s="38">
        <v>7.471</v>
      </c>
      <c r="C156" s="30">
        <v>7.471</v>
      </c>
      <c r="D156" s="30">
        <v>7.474</v>
      </c>
      <c r="E156" s="30">
        <v>7.456</v>
      </c>
      <c r="F156" s="41">
        <v>-0.0044</v>
      </c>
    </row>
    <row r="157">
      <c r="A157" s="45">
        <v>43550.0</v>
      </c>
      <c r="B157" s="38">
        <v>7.342</v>
      </c>
      <c r="C157" s="30">
        <v>7.329</v>
      </c>
      <c r="D157" s="30">
        <v>7.343</v>
      </c>
      <c r="E157" s="30">
        <v>7.328</v>
      </c>
      <c r="F157" s="41">
        <v>-0.0173</v>
      </c>
    </row>
    <row r="158">
      <c r="A158" s="45">
        <v>43551.0</v>
      </c>
      <c r="B158" s="38">
        <v>7.327</v>
      </c>
      <c r="C158" s="30">
        <v>7.344</v>
      </c>
      <c r="D158" s="30">
        <v>7.357</v>
      </c>
      <c r="E158" s="30">
        <v>7.323</v>
      </c>
      <c r="F158" s="41">
        <v>-0.002</v>
      </c>
    </row>
    <row r="159">
      <c r="A159" s="45">
        <v>43552.0</v>
      </c>
      <c r="B159" s="38">
        <v>7.323</v>
      </c>
      <c r="C159" s="30">
        <v>7.319</v>
      </c>
      <c r="D159" s="30">
        <v>7.334</v>
      </c>
      <c r="E159" s="30">
        <v>7.301</v>
      </c>
      <c r="F159" s="41">
        <v>-5.0E-4</v>
      </c>
    </row>
    <row r="160">
      <c r="A160" s="45">
        <v>43553.0</v>
      </c>
      <c r="B160" s="28">
        <v>7.346</v>
      </c>
      <c r="C160" s="30">
        <v>7.329</v>
      </c>
      <c r="D160" s="30">
        <v>7.351</v>
      </c>
      <c r="E160" s="30">
        <v>7.31</v>
      </c>
      <c r="F160" s="33">
        <v>0.0031</v>
      </c>
    </row>
    <row r="161">
      <c r="A161" s="24">
        <v>43557.0</v>
      </c>
      <c r="B161" s="38">
        <v>7.272</v>
      </c>
      <c r="C161" s="30">
        <v>7.356</v>
      </c>
      <c r="D161" s="30">
        <v>7.356</v>
      </c>
      <c r="E161" s="30">
        <v>7.271</v>
      </c>
      <c r="F161" s="41">
        <v>-0.0101</v>
      </c>
    </row>
    <row r="162">
      <c r="A162" s="24">
        <v>43558.0</v>
      </c>
      <c r="B162" s="38">
        <v>7.271</v>
      </c>
      <c r="C162" s="30">
        <v>7.28</v>
      </c>
      <c r="D162" s="30">
        <v>7.288</v>
      </c>
      <c r="E162" s="30">
        <v>7.255</v>
      </c>
      <c r="F162" s="41">
        <v>-1.0E-4</v>
      </c>
    </row>
    <row r="163">
      <c r="A163" s="24">
        <v>43559.0</v>
      </c>
      <c r="B163" s="28">
        <v>7.348</v>
      </c>
      <c r="C163" s="30">
        <v>7.271</v>
      </c>
      <c r="D163" s="30">
        <v>7.348</v>
      </c>
      <c r="E163" s="30">
        <v>7.229</v>
      </c>
      <c r="F163" s="33">
        <v>0.0106</v>
      </c>
    </row>
    <row r="164">
      <c r="A164" s="24">
        <v>43560.0</v>
      </c>
      <c r="B164" s="28">
        <v>7.353</v>
      </c>
      <c r="C164" s="30">
        <v>7.352</v>
      </c>
      <c r="D164" s="30">
        <v>7.362</v>
      </c>
      <c r="E164" s="30">
        <v>7.316</v>
      </c>
      <c r="F164" s="33">
        <v>7.0E-4</v>
      </c>
    </row>
    <row r="165">
      <c r="A165" s="24">
        <v>43563.0</v>
      </c>
      <c r="B165" s="28">
        <v>7.4</v>
      </c>
      <c r="C165" s="30">
        <v>7.374</v>
      </c>
      <c r="D165" s="30">
        <v>7.411</v>
      </c>
      <c r="E165" s="30">
        <v>7.374</v>
      </c>
      <c r="F165" s="33">
        <v>0.0064</v>
      </c>
    </row>
    <row r="166">
      <c r="A166" s="24">
        <v>43564.0</v>
      </c>
      <c r="B166" s="38">
        <v>7.374</v>
      </c>
      <c r="C166" s="30">
        <v>7.411</v>
      </c>
      <c r="D166" s="30">
        <v>7.418</v>
      </c>
      <c r="E166" s="30">
        <v>7.373</v>
      </c>
      <c r="F166" s="41">
        <v>-0.0035</v>
      </c>
    </row>
    <row r="167">
      <c r="A167" s="45">
        <v>43565.0</v>
      </c>
      <c r="B167" s="38">
        <v>7.367</v>
      </c>
      <c r="C167" s="30">
        <v>7.363</v>
      </c>
      <c r="D167" s="30">
        <v>7.379</v>
      </c>
      <c r="E167" s="30">
        <v>7.356</v>
      </c>
      <c r="F167" s="41">
        <v>-9.0E-4</v>
      </c>
    </row>
    <row r="168">
      <c r="A168" s="45">
        <v>43566.0</v>
      </c>
      <c r="B168" s="28">
        <v>7.371</v>
      </c>
      <c r="C168" s="30">
        <v>7.381</v>
      </c>
      <c r="D168" s="30">
        <v>7.381</v>
      </c>
      <c r="E168" s="30">
        <v>7.362</v>
      </c>
      <c r="F168" s="33">
        <v>5.0E-4</v>
      </c>
    </row>
    <row r="169">
      <c r="A169" s="45">
        <v>43567.0</v>
      </c>
      <c r="B169" s="28">
        <v>7.409</v>
      </c>
      <c r="C169" s="30">
        <v>7.383</v>
      </c>
      <c r="D169" s="30">
        <v>7.41</v>
      </c>
      <c r="E169" s="30">
        <v>7.38</v>
      </c>
      <c r="F169" s="33">
        <v>0.0052</v>
      </c>
    </row>
    <row r="170">
      <c r="A170" s="45">
        <v>43570.0</v>
      </c>
      <c r="B170" s="38">
        <v>7.392</v>
      </c>
      <c r="C170" s="30">
        <v>7.411</v>
      </c>
      <c r="D170" s="30">
        <v>7.414</v>
      </c>
      <c r="E170" s="30">
        <v>7.387</v>
      </c>
      <c r="F170" s="41">
        <v>-0.0023</v>
      </c>
    </row>
    <row r="171">
      <c r="A171" s="45">
        <v>43571.0</v>
      </c>
      <c r="B171" s="38">
        <v>7.39</v>
      </c>
      <c r="C171" s="30">
        <v>7.39</v>
      </c>
      <c r="D171" s="30">
        <v>7.404</v>
      </c>
      <c r="E171" s="30">
        <v>7.376</v>
      </c>
      <c r="F171" s="41">
        <v>-3.0E-4</v>
      </c>
    </row>
    <row r="172">
      <c r="A172" s="45">
        <v>43573.0</v>
      </c>
      <c r="B172" s="28">
        <v>7.42</v>
      </c>
      <c r="C172" s="30">
        <v>7.412</v>
      </c>
      <c r="D172" s="30">
        <v>7.43</v>
      </c>
      <c r="E172" s="30">
        <v>7.408</v>
      </c>
      <c r="F172" s="33">
        <v>0.0041</v>
      </c>
    </row>
    <row r="173">
      <c r="A173" s="45">
        <v>43577.0</v>
      </c>
      <c r="B173" s="28">
        <v>7.474</v>
      </c>
      <c r="C173" s="30">
        <v>7.455</v>
      </c>
      <c r="D173" s="30">
        <v>7.497</v>
      </c>
      <c r="E173" s="30">
        <v>7.455</v>
      </c>
      <c r="F173" s="33">
        <v>0.0073</v>
      </c>
    </row>
    <row r="174">
      <c r="A174" s="45">
        <v>43578.0</v>
      </c>
      <c r="B174" s="38">
        <v>7.473</v>
      </c>
      <c r="C174" s="30">
        <v>7.489</v>
      </c>
      <c r="D174" s="30">
        <v>7.495</v>
      </c>
      <c r="E174" s="30">
        <v>7.46</v>
      </c>
      <c r="F174" s="41">
        <v>-1.0E-4</v>
      </c>
    </row>
    <row r="175">
      <c r="A175" s="45">
        <v>43579.0</v>
      </c>
      <c r="B175" s="38">
        <v>7.424</v>
      </c>
      <c r="C175" s="30">
        <v>7.429</v>
      </c>
      <c r="D175" s="30">
        <v>7.436</v>
      </c>
      <c r="E175" s="30">
        <v>7.421</v>
      </c>
      <c r="F175" s="41">
        <v>-0.0066</v>
      </c>
    </row>
    <row r="176">
      <c r="A176" s="45">
        <v>43580.0</v>
      </c>
      <c r="B176" s="28">
        <v>7.451</v>
      </c>
      <c r="C176" s="30">
        <v>7.441</v>
      </c>
      <c r="D176" s="30">
        <v>7.477</v>
      </c>
      <c r="E176" s="30">
        <v>7.441</v>
      </c>
      <c r="F176" s="33">
        <v>0.0036</v>
      </c>
    </row>
    <row r="177">
      <c r="A177" s="45">
        <v>43581.0</v>
      </c>
      <c r="B177" s="38">
        <v>7.408</v>
      </c>
      <c r="C177" s="30">
        <v>7.436</v>
      </c>
      <c r="D177" s="30">
        <v>7.446</v>
      </c>
      <c r="E177" s="30">
        <v>7.405</v>
      </c>
      <c r="F177" s="41">
        <v>-0.0058</v>
      </c>
    </row>
    <row r="178">
      <c r="A178" s="45">
        <v>43585.0</v>
      </c>
      <c r="B178" s="28">
        <v>7.414</v>
      </c>
      <c r="C178" s="30">
        <v>7.395</v>
      </c>
      <c r="D178" s="30">
        <v>7.421</v>
      </c>
      <c r="E178" s="30">
        <v>7.387</v>
      </c>
      <c r="F178" s="33">
        <v>8.0E-4</v>
      </c>
    </row>
    <row r="179">
      <c r="A179" s="55">
        <v>43587.0</v>
      </c>
      <c r="B179" s="38">
        <v>7.386</v>
      </c>
      <c r="C179" s="30">
        <v>7.411</v>
      </c>
      <c r="D179" s="30">
        <v>7.411</v>
      </c>
      <c r="E179" s="30">
        <v>7.386</v>
      </c>
      <c r="F179" s="41">
        <v>-0.0038</v>
      </c>
    </row>
    <row r="180">
      <c r="A180" s="55">
        <v>43588.0</v>
      </c>
      <c r="B180" s="28">
        <v>7.397</v>
      </c>
      <c r="C180" s="30">
        <v>7.372</v>
      </c>
      <c r="D180" s="30">
        <v>7.401</v>
      </c>
      <c r="E180" s="30">
        <v>7.369</v>
      </c>
      <c r="F180" s="33">
        <v>0.0015</v>
      </c>
    </row>
    <row r="181">
      <c r="A181" s="55">
        <v>43591.0</v>
      </c>
      <c r="B181" s="38">
        <v>7.394</v>
      </c>
      <c r="C181" s="30">
        <v>7.403</v>
      </c>
      <c r="D181" s="30">
        <v>7.403</v>
      </c>
      <c r="E181" s="30">
        <v>7.365</v>
      </c>
      <c r="F181" s="41">
        <v>-4.0E-4</v>
      </c>
    </row>
    <row r="182">
      <c r="A182" s="55">
        <v>43592.0</v>
      </c>
      <c r="B182" s="38">
        <v>7.382</v>
      </c>
      <c r="C182" s="30">
        <v>7.417</v>
      </c>
      <c r="D182" s="30">
        <v>7.424</v>
      </c>
      <c r="E182" s="30">
        <v>7.381</v>
      </c>
      <c r="F182" s="41">
        <v>-0.0016</v>
      </c>
    </row>
    <row r="183">
      <c r="A183" s="55">
        <v>43593.0</v>
      </c>
      <c r="B183" s="38">
        <v>7.375</v>
      </c>
      <c r="C183" s="30">
        <v>7.392</v>
      </c>
      <c r="D183" s="30">
        <v>7.392</v>
      </c>
      <c r="E183" s="30">
        <v>7.37</v>
      </c>
      <c r="F183" s="41">
        <v>-9.0E-4</v>
      </c>
    </row>
    <row r="184">
      <c r="A184" s="55">
        <v>43594.0</v>
      </c>
      <c r="B184" s="28">
        <v>7.397</v>
      </c>
      <c r="C184" s="30">
        <v>7.387</v>
      </c>
      <c r="D184" s="30">
        <v>7.4</v>
      </c>
      <c r="E184" s="30">
        <v>7.371</v>
      </c>
      <c r="F184" s="33">
        <v>0.003</v>
      </c>
    </row>
    <row r="185">
      <c r="A185" s="56">
        <v>43595.0</v>
      </c>
      <c r="B185" s="28">
        <v>7.413</v>
      </c>
      <c r="C185" s="30">
        <v>7.407</v>
      </c>
      <c r="D185" s="30">
        <v>7.426</v>
      </c>
      <c r="E185" s="30">
        <v>7.403</v>
      </c>
      <c r="F185" s="33">
        <v>0.0022</v>
      </c>
    </row>
    <row r="186">
      <c r="A186" s="56">
        <v>43598.0</v>
      </c>
      <c r="B186" s="38">
        <v>7.388</v>
      </c>
      <c r="C186" s="30">
        <v>7.418</v>
      </c>
      <c r="D186" s="30">
        <v>7.419</v>
      </c>
      <c r="E186" s="30">
        <v>7.385</v>
      </c>
      <c r="F186" s="41">
        <v>-0.0034</v>
      </c>
    </row>
    <row r="187">
      <c r="A187" s="56">
        <v>43599.0</v>
      </c>
      <c r="B187" s="38">
        <v>7.378</v>
      </c>
      <c r="C187" s="30">
        <v>7.388</v>
      </c>
      <c r="D187" s="30">
        <v>7.388</v>
      </c>
      <c r="E187" s="30">
        <v>7.348</v>
      </c>
      <c r="F187" s="41">
        <v>-0.0014</v>
      </c>
    </row>
    <row r="188">
      <c r="A188" s="56">
        <v>43600.0</v>
      </c>
      <c r="B188" s="28">
        <v>7.379</v>
      </c>
      <c r="C188" s="30">
        <v>7.379</v>
      </c>
      <c r="D188" s="30">
        <v>7.384</v>
      </c>
      <c r="E188" s="30">
        <v>7.36</v>
      </c>
      <c r="F188" s="33">
        <v>1.0E-4</v>
      </c>
    </row>
    <row r="189">
      <c r="A189" s="56">
        <v>43601.0</v>
      </c>
      <c r="B189" s="38">
        <v>7.377</v>
      </c>
      <c r="C189" s="30">
        <v>7.394</v>
      </c>
      <c r="D189" s="30">
        <v>7.402</v>
      </c>
      <c r="E189" s="30">
        <v>7.375</v>
      </c>
      <c r="F189" s="41">
        <v>-3.0E-4</v>
      </c>
    </row>
    <row r="190">
      <c r="A190" s="56">
        <v>43602.0</v>
      </c>
      <c r="B190" s="38">
        <v>7.362</v>
      </c>
      <c r="C190" s="30">
        <v>7.397</v>
      </c>
      <c r="D190" s="30">
        <v>7.397</v>
      </c>
      <c r="E190" s="30">
        <v>7.36</v>
      </c>
      <c r="F190" s="41">
        <v>-0.002</v>
      </c>
    </row>
    <row r="191">
      <c r="A191" s="56">
        <v>43605.0</v>
      </c>
      <c r="B191" s="38">
        <v>7.286</v>
      </c>
      <c r="C191" s="30">
        <v>7.287</v>
      </c>
      <c r="D191" s="30">
        <v>7.309</v>
      </c>
      <c r="E191" s="30">
        <v>7.275</v>
      </c>
      <c r="F191" s="41">
        <v>-0.0103</v>
      </c>
    </row>
    <row r="192">
      <c r="A192" s="56">
        <v>43606.0</v>
      </c>
      <c r="B192" s="28">
        <v>7.303</v>
      </c>
      <c r="C192" s="30">
        <v>7.293</v>
      </c>
      <c r="D192" s="30">
        <v>7.312</v>
      </c>
      <c r="E192" s="30">
        <v>7.286</v>
      </c>
      <c r="F192" s="33">
        <v>0.0023</v>
      </c>
    </row>
    <row r="193">
      <c r="A193" s="56">
        <v>43607.0</v>
      </c>
      <c r="B193" s="38">
        <v>7.26</v>
      </c>
      <c r="C193" s="30">
        <v>7.302</v>
      </c>
      <c r="D193" s="30">
        <v>7.308</v>
      </c>
      <c r="E193" s="30">
        <v>7.26</v>
      </c>
      <c r="F193" s="41">
        <v>-0.0059</v>
      </c>
    </row>
    <row r="194">
      <c r="A194" s="56">
        <v>43608.0</v>
      </c>
      <c r="B194" s="38">
        <v>7.239</v>
      </c>
      <c r="C194" s="30">
        <v>7.232</v>
      </c>
      <c r="D194" s="30">
        <v>7.244</v>
      </c>
      <c r="E194" s="30">
        <v>7.191</v>
      </c>
      <c r="F194" s="41">
        <v>-0.0029</v>
      </c>
    </row>
    <row r="195">
      <c r="A195" s="56">
        <v>43609.0</v>
      </c>
      <c r="B195" s="38">
        <v>7.226</v>
      </c>
      <c r="C195" s="30">
        <v>7.22</v>
      </c>
      <c r="D195" s="30">
        <v>7.239</v>
      </c>
      <c r="E195" s="30">
        <v>7.203</v>
      </c>
      <c r="F195" s="41">
        <v>-0.0018</v>
      </c>
    </row>
    <row r="196">
      <c r="A196" s="56">
        <v>43612.0</v>
      </c>
      <c r="B196" s="38">
        <v>7.167</v>
      </c>
      <c r="C196" s="30">
        <v>7.226</v>
      </c>
      <c r="D196" s="30">
        <v>7.228</v>
      </c>
      <c r="E196" s="30">
        <v>7.162</v>
      </c>
      <c r="F196" s="41">
        <v>-0.0082</v>
      </c>
    </row>
    <row r="197">
      <c r="A197" s="56">
        <v>43613.0</v>
      </c>
      <c r="B197" s="38">
        <v>7.149</v>
      </c>
      <c r="C197" s="30">
        <v>7.177</v>
      </c>
      <c r="D197" s="30">
        <v>7.179</v>
      </c>
      <c r="E197" s="30">
        <v>7.135</v>
      </c>
      <c r="F197" s="41">
        <v>-0.0025</v>
      </c>
    </row>
    <row r="198">
      <c r="A198" s="56">
        <v>43614.0</v>
      </c>
      <c r="B198" s="38">
        <v>7.125</v>
      </c>
      <c r="C198" s="30">
        <v>7.127</v>
      </c>
      <c r="D198" s="30">
        <v>7.143</v>
      </c>
      <c r="E198" s="30">
        <v>7.116</v>
      </c>
      <c r="F198" s="41">
        <v>-0.0034</v>
      </c>
    </row>
    <row r="199">
      <c r="A199" s="56">
        <v>43615.0</v>
      </c>
      <c r="B199" s="28">
        <v>7.133</v>
      </c>
      <c r="C199" s="30">
        <v>7.135</v>
      </c>
      <c r="D199" s="30">
        <v>7.139</v>
      </c>
      <c r="E199" s="30">
        <v>7.127</v>
      </c>
      <c r="F199" s="33">
        <v>0.0011</v>
      </c>
    </row>
    <row r="200">
      <c r="A200" s="56">
        <v>43616.0</v>
      </c>
      <c r="B200" s="38">
        <v>7.032</v>
      </c>
      <c r="C200" s="30">
        <v>7.075</v>
      </c>
      <c r="D200" s="30">
        <v>7.077</v>
      </c>
      <c r="E200" s="30">
        <v>7.03</v>
      </c>
      <c r="F200" s="41">
        <v>-0.0142</v>
      </c>
    </row>
    <row r="201">
      <c r="A201" s="24">
        <v>43619.0</v>
      </c>
      <c r="B201" s="38">
        <v>6.982</v>
      </c>
      <c r="C201" s="30">
        <v>6.949</v>
      </c>
      <c r="D201" s="30">
        <v>7.001</v>
      </c>
      <c r="E201" s="30">
        <v>6.941</v>
      </c>
      <c r="F201" s="41">
        <v>-0.0071</v>
      </c>
    </row>
    <row r="202">
      <c r="A202" s="24">
        <v>43620.0</v>
      </c>
      <c r="B202" s="28">
        <v>7.022</v>
      </c>
      <c r="C202" s="30">
        <v>6.979</v>
      </c>
      <c r="D202" s="30">
        <v>7.024</v>
      </c>
      <c r="E202" s="30">
        <v>6.977</v>
      </c>
      <c r="F202" s="33">
        <v>0.0057</v>
      </c>
    </row>
    <row r="203">
      <c r="A203" s="24">
        <v>43622.0</v>
      </c>
      <c r="B203" s="38">
        <v>6.931</v>
      </c>
      <c r="C203" s="30">
        <v>7.012</v>
      </c>
      <c r="D203" s="30">
        <v>7.012</v>
      </c>
      <c r="E203" s="30">
        <v>6.876</v>
      </c>
      <c r="F203" s="41">
        <v>-0.013</v>
      </c>
    </row>
    <row r="204">
      <c r="A204" s="24">
        <v>43623.0</v>
      </c>
      <c r="B204" s="28">
        <v>6.974</v>
      </c>
      <c r="C204" s="30">
        <v>6.951</v>
      </c>
      <c r="D204" s="30">
        <v>6.984</v>
      </c>
      <c r="E204" s="30">
        <v>6.948</v>
      </c>
      <c r="F204" s="33">
        <v>0.0062</v>
      </c>
    </row>
    <row r="205">
      <c r="A205" s="45">
        <v>43626.0</v>
      </c>
      <c r="B205" s="28">
        <v>7.077</v>
      </c>
      <c r="C205" s="30">
        <v>6.984</v>
      </c>
      <c r="D205" s="30">
        <v>7.087</v>
      </c>
      <c r="E205" s="30">
        <v>6.983</v>
      </c>
      <c r="F205" s="33">
        <v>0.0148</v>
      </c>
    </row>
    <row r="206">
      <c r="A206" s="45">
        <v>43627.0</v>
      </c>
      <c r="B206" s="38">
        <v>7.037</v>
      </c>
      <c r="C206" s="30">
        <v>7.083</v>
      </c>
      <c r="D206" s="30">
        <v>7.097</v>
      </c>
      <c r="E206" s="30">
        <v>7.036</v>
      </c>
      <c r="F206" s="41">
        <v>-0.0057</v>
      </c>
    </row>
    <row r="207">
      <c r="A207" s="45">
        <v>43628.0</v>
      </c>
      <c r="B207" s="38">
        <v>7.012</v>
      </c>
      <c r="C207" s="30">
        <v>7.022</v>
      </c>
      <c r="D207" s="30">
        <v>7.025</v>
      </c>
      <c r="E207" s="30">
        <v>6.995</v>
      </c>
      <c r="F207" s="41">
        <v>-0.0036</v>
      </c>
    </row>
    <row r="208">
      <c r="A208" s="45">
        <v>43629.0</v>
      </c>
      <c r="B208" s="38">
        <v>7.009</v>
      </c>
      <c r="C208" s="30">
        <v>6.989</v>
      </c>
      <c r="D208" s="30">
        <v>7.028</v>
      </c>
      <c r="E208" s="30">
        <v>6.965</v>
      </c>
      <c r="F208" s="41">
        <v>-4.0E-4</v>
      </c>
    </row>
    <row r="209">
      <c r="A209" s="45">
        <v>43630.0</v>
      </c>
      <c r="B209" s="38">
        <v>6.919</v>
      </c>
      <c r="C209" s="30">
        <v>6.993</v>
      </c>
      <c r="D209" s="30">
        <v>6.997</v>
      </c>
      <c r="E209" s="30">
        <v>6.914</v>
      </c>
      <c r="F209" s="41">
        <v>-0.0128</v>
      </c>
    </row>
    <row r="210">
      <c r="A210" s="45">
        <v>43633.0</v>
      </c>
      <c r="B210" s="28">
        <v>6.931</v>
      </c>
      <c r="C210" s="30">
        <v>6.933</v>
      </c>
      <c r="D210" s="30">
        <v>6.947</v>
      </c>
      <c r="E210" s="30">
        <v>6.915</v>
      </c>
      <c r="F210" s="33">
        <v>0.0017</v>
      </c>
    </row>
    <row r="211">
      <c r="A211" s="45">
        <v>43634.0</v>
      </c>
      <c r="B211" s="38">
        <v>6.808</v>
      </c>
      <c r="C211" s="30">
        <v>6.912</v>
      </c>
      <c r="D211" s="30">
        <v>6.92</v>
      </c>
      <c r="E211" s="30">
        <v>6.808</v>
      </c>
      <c r="F211" s="41">
        <v>-0.0177</v>
      </c>
    </row>
    <row r="212">
      <c r="A212" s="45">
        <v>43635.0</v>
      </c>
      <c r="B212" s="28">
        <v>6.841</v>
      </c>
      <c r="C212" s="30">
        <v>6.831</v>
      </c>
      <c r="D212" s="30">
        <v>6.849</v>
      </c>
      <c r="E212" s="30">
        <v>6.817</v>
      </c>
      <c r="F212" s="33">
        <v>0.0048</v>
      </c>
    </row>
    <row r="213">
      <c r="A213" s="45">
        <v>43636.0</v>
      </c>
      <c r="B213" s="38">
        <v>6.791</v>
      </c>
      <c r="C213" s="30">
        <v>6.769</v>
      </c>
      <c r="D213" s="30">
        <v>6.791</v>
      </c>
      <c r="E213" s="30">
        <v>6.734</v>
      </c>
      <c r="F213" s="41">
        <v>-0.0073</v>
      </c>
    </row>
    <row r="214">
      <c r="A214" s="45">
        <v>43637.0</v>
      </c>
      <c r="B214" s="28">
        <v>6.861</v>
      </c>
      <c r="C214" s="30">
        <v>6.825</v>
      </c>
      <c r="D214" s="30">
        <v>6.893</v>
      </c>
      <c r="E214" s="30">
        <v>6.825</v>
      </c>
      <c r="F214" s="33">
        <v>0.0103</v>
      </c>
    </row>
    <row r="215">
      <c r="A215" s="45">
        <v>43640.0</v>
      </c>
      <c r="B215" s="38">
        <v>6.851</v>
      </c>
      <c r="C215" s="30">
        <v>6.84</v>
      </c>
      <c r="D215" s="30">
        <v>6.883</v>
      </c>
      <c r="E215" s="30">
        <v>6.811</v>
      </c>
      <c r="F215" s="41">
        <v>-0.0015</v>
      </c>
    </row>
    <row r="216">
      <c r="A216" s="45">
        <v>43641.0</v>
      </c>
      <c r="B216" s="28">
        <v>6.882</v>
      </c>
      <c r="C216" s="30">
        <v>6.838</v>
      </c>
      <c r="D216" s="30">
        <v>6.896</v>
      </c>
      <c r="E216" s="30">
        <v>6.837</v>
      </c>
      <c r="F216" s="33">
        <v>0.0045</v>
      </c>
    </row>
    <row r="217">
      <c r="A217" s="45">
        <v>43642.0</v>
      </c>
      <c r="B217" s="28">
        <v>6.933</v>
      </c>
      <c r="C217" s="30">
        <v>6.917</v>
      </c>
      <c r="D217" s="30">
        <v>6.942</v>
      </c>
      <c r="E217" s="30">
        <v>6.917</v>
      </c>
      <c r="F217" s="33">
        <v>0.0074</v>
      </c>
    </row>
    <row r="218">
      <c r="A218" s="45">
        <v>43643.0</v>
      </c>
      <c r="B218" s="38">
        <v>6.897</v>
      </c>
      <c r="C218" s="30">
        <v>6.957</v>
      </c>
      <c r="D218" s="30">
        <v>6.957</v>
      </c>
      <c r="E218" s="30">
        <v>6.88</v>
      </c>
      <c r="F218" s="41">
        <v>-0.0052</v>
      </c>
    </row>
    <row r="219">
      <c r="A219" s="45">
        <v>43644.0</v>
      </c>
      <c r="B219" s="38">
        <v>6.879</v>
      </c>
      <c r="C219" s="30">
        <v>6.888</v>
      </c>
      <c r="D219" s="30">
        <v>6.9</v>
      </c>
      <c r="E219" s="30">
        <v>6.87</v>
      </c>
      <c r="F219" s="41">
        <v>-0.0026</v>
      </c>
    </row>
    <row r="220">
      <c r="A220" s="24">
        <v>43647.0</v>
      </c>
      <c r="B220" s="28">
        <v>6.882</v>
      </c>
      <c r="C220" s="30">
        <v>6.906</v>
      </c>
      <c r="D220" s="30">
        <v>6.93</v>
      </c>
      <c r="E220" s="30">
        <v>6.882</v>
      </c>
      <c r="F220" s="33">
        <v>4.0E-4</v>
      </c>
    </row>
    <row r="221">
      <c r="A221" s="24">
        <v>43648.0</v>
      </c>
      <c r="B221" s="38">
        <v>6.846</v>
      </c>
      <c r="C221" s="30">
        <v>6.86</v>
      </c>
      <c r="D221" s="30">
        <v>6.876</v>
      </c>
      <c r="E221" s="30">
        <v>6.829</v>
      </c>
      <c r="F221" s="41">
        <v>-0.0052</v>
      </c>
    </row>
    <row r="222">
      <c r="A222" s="24">
        <v>43649.0</v>
      </c>
      <c r="B222" s="38">
        <v>6.833</v>
      </c>
      <c r="C222" s="30">
        <v>6.809</v>
      </c>
      <c r="D222" s="30">
        <v>6.835</v>
      </c>
      <c r="E222" s="30">
        <v>6.804</v>
      </c>
      <c r="F222" s="41">
        <v>-0.0019</v>
      </c>
    </row>
    <row r="223">
      <c r="A223" s="24">
        <v>43650.0</v>
      </c>
      <c r="B223" s="38">
        <v>6.751</v>
      </c>
      <c r="C223" s="30">
        <v>6.837</v>
      </c>
      <c r="D223" s="30">
        <v>6.849</v>
      </c>
      <c r="E223" s="30">
        <v>6.751</v>
      </c>
      <c r="F223" s="41">
        <v>-0.012</v>
      </c>
    </row>
    <row r="224">
      <c r="A224" s="24">
        <v>43651.0</v>
      </c>
      <c r="B224" s="38">
        <v>6.695</v>
      </c>
      <c r="C224" s="30">
        <v>6.755</v>
      </c>
      <c r="D224" s="30">
        <v>6.766</v>
      </c>
      <c r="E224" s="30">
        <v>6.576</v>
      </c>
      <c r="F224" s="41">
        <v>-0.0083</v>
      </c>
    </row>
    <row r="225">
      <c r="A225" s="24">
        <v>43654.0</v>
      </c>
      <c r="B225" s="38">
        <v>6.562</v>
      </c>
      <c r="C225" s="30">
        <v>6.713</v>
      </c>
      <c r="D225" s="30">
        <v>6.713</v>
      </c>
      <c r="E225" s="30">
        <v>6.562</v>
      </c>
      <c r="F225" s="41">
        <v>-0.0199</v>
      </c>
    </row>
    <row r="226">
      <c r="A226" s="24">
        <v>43655.0</v>
      </c>
      <c r="B226" s="28">
        <v>6.588</v>
      </c>
      <c r="C226" s="30">
        <v>6.555</v>
      </c>
      <c r="D226" s="30">
        <v>6.61</v>
      </c>
      <c r="E226" s="30">
        <v>6.555</v>
      </c>
      <c r="F226" s="33">
        <v>0.004</v>
      </c>
    </row>
    <row r="227">
      <c r="A227" s="45">
        <v>43656.0</v>
      </c>
      <c r="B227" s="38">
        <v>6.543</v>
      </c>
      <c r="C227" s="30">
        <v>6.588</v>
      </c>
      <c r="D227" s="30">
        <v>6.61</v>
      </c>
      <c r="E227" s="30">
        <v>6.516</v>
      </c>
      <c r="F227" s="41">
        <v>-0.0068</v>
      </c>
    </row>
    <row r="228">
      <c r="A228" s="45">
        <v>43657.0</v>
      </c>
      <c r="B228" s="38">
        <v>6.493</v>
      </c>
      <c r="C228" s="30">
        <v>6.558</v>
      </c>
      <c r="D228" s="30">
        <v>6.562</v>
      </c>
      <c r="E228" s="30">
        <v>6.487</v>
      </c>
      <c r="F228" s="41">
        <v>-0.0076</v>
      </c>
    </row>
    <row r="229">
      <c r="A229" s="45">
        <v>43658.0</v>
      </c>
      <c r="B229" s="38">
        <v>6.488</v>
      </c>
      <c r="C229" s="30">
        <v>6.528</v>
      </c>
      <c r="D229" s="30">
        <v>6.541</v>
      </c>
      <c r="E229" s="30">
        <v>6.457</v>
      </c>
      <c r="F229" s="41">
        <v>-8.0E-4</v>
      </c>
    </row>
    <row r="230">
      <c r="A230" s="45">
        <v>43661.0</v>
      </c>
      <c r="B230" s="38">
        <v>6.433</v>
      </c>
      <c r="C230" s="30">
        <v>6.459</v>
      </c>
      <c r="D230" s="30">
        <v>6.467</v>
      </c>
      <c r="E230" s="30">
        <v>6.43</v>
      </c>
      <c r="F230" s="41">
        <v>-0.0085</v>
      </c>
    </row>
    <row r="231">
      <c r="A231" s="45">
        <v>43662.0</v>
      </c>
      <c r="B231" s="38">
        <v>6.331</v>
      </c>
      <c r="C231" s="30">
        <v>6.413</v>
      </c>
      <c r="D231" s="30">
        <v>6.413</v>
      </c>
      <c r="E231" s="30">
        <v>6.317</v>
      </c>
      <c r="F231" s="41">
        <v>-0.0159</v>
      </c>
    </row>
    <row r="232">
      <c r="A232" s="45">
        <v>43663.0</v>
      </c>
      <c r="B232" s="28">
        <v>6.345</v>
      </c>
      <c r="C232" s="30">
        <v>6.281</v>
      </c>
      <c r="D232" s="30">
        <v>6.413</v>
      </c>
      <c r="E232" s="30">
        <v>6.266</v>
      </c>
      <c r="F232" s="33">
        <v>0.0022</v>
      </c>
    </row>
    <row r="233">
      <c r="A233" s="45">
        <v>43664.0</v>
      </c>
      <c r="B233" s="28">
        <v>6.387</v>
      </c>
      <c r="C233" s="30">
        <v>6.31</v>
      </c>
      <c r="D233" s="30">
        <v>6.402</v>
      </c>
      <c r="E233" s="30">
        <v>6.31</v>
      </c>
      <c r="F233" s="33">
        <v>0.0066</v>
      </c>
    </row>
    <row r="234">
      <c r="A234" s="45">
        <v>43665.0</v>
      </c>
      <c r="B234" s="38">
        <v>6.361</v>
      </c>
      <c r="C234" s="30">
        <v>6.383</v>
      </c>
      <c r="D234" s="30">
        <v>6.385</v>
      </c>
      <c r="E234" s="30">
        <v>6.348</v>
      </c>
      <c r="F234" s="41">
        <v>-0.0041</v>
      </c>
    </row>
    <row r="235">
      <c r="A235" s="45">
        <v>43668.0</v>
      </c>
      <c r="B235" s="28">
        <v>6.418</v>
      </c>
      <c r="C235" s="30">
        <v>6.424</v>
      </c>
      <c r="D235" s="30">
        <v>6.453</v>
      </c>
      <c r="E235" s="30">
        <v>6.406</v>
      </c>
      <c r="F235" s="33">
        <v>0.009</v>
      </c>
    </row>
    <row r="236">
      <c r="A236" s="45">
        <v>43669.0</v>
      </c>
      <c r="B236" s="28">
        <v>6.464</v>
      </c>
      <c r="C236" s="30">
        <v>6.452</v>
      </c>
      <c r="D236" s="30">
        <v>6.477</v>
      </c>
      <c r="E236" s="30">
        <v>6.408</v>
      </c>
      <c r="F236" s="33">
        <v>0.0072</v>
      </c>
    </row>
    <row r="237">
      <c r="A237" s="45">
        <v>43670.0</v>
      </c>
      <c r="B237" s="38">
        <v>6.438</v>
      </c>
      <c r="C237" s="30">
        <v>6.476</v>
      </c>
      <c r="D237" s="30">
        <v>6.479</v>
      </c>
      <c r="E237" s="30">
        <v>6.425</v>
      </c>
      <c r="F237" s="41">
        <v>-0.004</v>
      </c>
    </row>
    <row r="238">
      <c r="A238" s="45">
        <v>43671.0</v>
      </c>
      <c r="B238" s="28">
        <v>6.514</v>
      </c>
      <c r="C238" s="30">
        <v>6.441</v>
      </c>
      <c r="D238" s="30">
        <v>6.551</v>
      </c>
      <c r="E238" s="30">
        <v>6.422</v>
      </c>
      <c r="F238" s="33">
        <v>0.0118</v>
      </c>
    </row>
    <row r="239">
      <c r="A239" s="45">
        <v>43672.0</v>
      </c>
      <c r="B239" s="28">
        <v>6.525</v>
      </c>
      <c r="C239" s="30">
        <v>6.538</v>
      </c>
      <c r="D239" s="30">
        <v>6.556</v>
      </c>
      <c r="E239" s="30">
        <v>6.506</v>
      </c>
      <c r="F239" s="33">
        <v>0.0017</v>
      </c>
    </row>
    <row r="240">
      <c r="A240" s="45">
        <v>43675.0</v>
      </c>
      <c r="B240" s="38">
        <v>6.412</v>
      </c>
      <c r="C240" s="30">
        <v>6.452</v>
      </c>
      <c r="D240" s="30">
        <v>6.46</v>
      </c>
      <c r="E240" s="30">
        <v>6.412</v>
      </c>
      <c r="F240" s="41">
        <v>-0.0173</v>
      </c>
    </row>
    <row r="241">
      <c r="A241" s="57">
        <v>43676.0</v>
      </c>
      <c r="B241" s="58">
        <v>6.387</v>
      </c>
      <c r="C241" s="59">
        <v>6.416</v>
      </c>
      <c r="D241" s="59">
        <v>6.437</v>
      </c>
      <c r="E241" s="59">
        <v>6.379</v>
      </c>
      <c r="F241" s="60">
        <v>-0.0039</v>
      </c>
    </row>
    <row r="242">
      <c r="A242" s="45">
        <v>43677.0</v>
      </c>
      <c r="B242" s="38">
        <v>6.369</v>
      </c>
      <c r="C242" s="30">
        <v>6.403</v>
      </c>
      <c r="D242" s="30">
        <v>6.403</v>
      </c>
      <c r="E242" s="30">
        <v>6.359</v>
      </c>
      <c r="F242" s="41">
        <v>-0.0028</v>
      </c>
    </row>
    <row r="243">
      <c r="A243" s="24">
        <v>43678.0</v>
      </c>
      <c r="B243" s="28">
        <v>6.423</v>
      </c>
      <c r="C243" s="30">
        <v>6.394</v>
      </c>
      <c r="D243" s="30">
        <v>6.432</v>
      </c>
      <c r="E243" s="30">
        <v>6.384</v>
      </c>
      <c r="F243" s="33">
        <v>0.0085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  <col customWidth="1" min="5" max="5" width="16.5"/>
    <col customWidth="1" min="10" max="10" width="15.0"/>
  </cols>
  <sheetData>
    <row r="1">
      <c r="A1" s="4">
        <v>120213.0</v>
      </c>
      <c r="B1" s="1" t="s">
        <v>9</v>
      </c>
      <c r="C1" s="1" t="s">
        <v>10</v>
      </c>
      <c r="D1" s="1" t="s">
        <v>11</v>
      </c>
    </row>
    <row r="2">
      <c r="E2" s="11"/>
      <c r="F2" s="13"/>
      <c r="G2" s="16"/>
      <c r="H2" s="11"/>
    </row>
    <row r="3">
      <c r="A3" s="20" t="s">
        <v>0</v>
      </c>
      <c r="B3" s="25" t="s">
        <v>15</v>
      </c>
      <c r="C3" s="27" t="s">
        <v>20</v>
      </c>
      <c r="D3" s="32" t="s">
        <v>23</v>
      </c>
      <c r="E3" s="35" t="s">
        <v>17</v>
      </c>
      <c r="F3" s="22" t="s">
        <v>18</v>
      </c>
      <c r="G3" s="26" t="s">
        <v>19</v>
      </c>
      <c r="H3" s="29" t="s">
        <v>21</v>
      </c>
      <c r="I3" s="31" t="s">
        <v>22</v>
      </c>
      <c r="J3" s="44" t="s">
        <v>26</v>
      </c>
      <c r="K3" s="34" t="s">
        <v>25</v>
      </c>
    </row>
    <row r="4">
      <c r="A4" s="46">
        <v>43313.0</v>
      </c>
      <c r="B4" s="11">
        <v>100.5076</v>
      </c>
      <c r="C4" s="47"/>
      <c r="D4" s="42">
        <v>11346.2</v>
      </c>
      <c r="E4" s="11"/>
      <c r="F4" s="48">
        <v>7.701</v>
      </c>
      <c r="G4" s="49">
        <f t="shared" ref="G4:G244" si="1">F4/100</f>
        <v>0.07701</v>
      </c>
      <c r="H4" s="50">
        <f t="shared" ref="H4:H244" si="2">(1+G4)^(1/365) - 1</f>
        <v>0.0002032773243</v>
      </c>
      <c r="I4" s="51"/>
      <c r="K4" s="40"/>
    </row>
    <row r="5">
      <c r="A5" s="46">
        <v>43314.0</v>
      </c>
      <c r="B5" s="11">
        <v>100.5369</v>
      </c>
      <c r="C5" s="47">
        <f t="shared" ref="C5:C244" si="3">(B5-B4)/B4</f>
        <v>0.0002915202432</v>
      </c>
      <c r="D5" s="42">
        <v>11244.7</v>
      </c>
      <c r="E5" s="11">
        <f t="shared" ref="E5:E244" si="4">(D5-D4)/D4</f>
        <v>-0.008945726322</v>
      </c>
      <c r="F5" s="48">
        <v>7.721</v>
      </c>
      <c r="G5" s="49">
        <f t="shared" si="1"/>
        <v>0.07721</v>
      </c>
      <c r="H5" s="50">
        <f t="shared" si="2"/>
        <v>0.0002037861458</v>
      </c>
      <c r="I5" s="51">
        <f t="shared" ref="I5:I244" si="5">(H5-H4)/H4</f>
        <v>0.002503090332</v>
      </c>
      <c r="J5" s="53">
        <f t="shared" ref="J5:J244" si="6">C5-I5</f>
        <v>-0.002211570089</v>
      </c>
      <c r="K5" s="40">
        <f t="shared" ref="K5:K244" si="7">E5-I5</f>
        <v>-0.01144881665</v>
      </c>
    </row>
    <row r="6">
      <c r="A6" s="46">
        <v>43315.0</v>
      </c>
      <c r="B6" s="11">
        <v>100.5639</v>
      </c>
      <c r="C6" s="47">
        <f t="shared" si="3"/>
        <v>0.0002685581115</v>
      </c>
      <c r="D6" s="42">
        <v>11360.8</v>
      </c>
      <c r="E6" s="11">
        <f t="shared" si="4"/>
        <v>0.01032486416</v>
      </c>
      <c r="F6" s="48">
        <v>7.763</v>
      </c>
      <c r="G6" s="49">
        <f t="shared" si="1"/>
        <v>0.07763</v>
      </c>
      <c r="H6" s="50">
        <f t="shared" si="2"/>
        <v>0.0002048543644</v>
      </c>
      <c r="I6" s="51">
        <f t="shared" si="5"/>
        <v>0.00524186062</v>
      </c>
      <c r="J6" s="53">
        <f t="shared" si="6"/>
        <v>-0.004973302508</v>
      </c>
      <c r="K6" s="40">
        <f t="shared" si="7"/>
        <v>0.005083003538</v>
      </c>
    </row>
    <row r="7">
      <c r="A7" s="46">
        <v>43318.0</v>
      </c>
      <c r="B7" s="11">
        <v>100.624</v>
      </c>
      <c r="C7" s="47">
        <f t="shared" si="3"/>
        <v>0.0005976299646</v>
      </c>
      <c r="D7" s="42">
        <v>11387.1</v>
      </c>
      <c r="E7" s="11">
        <f t="shared" si="4"/>
        <v>0.002314977818</v>
      </c>
      <c r="F7" s="48">
        <v>7.768</v>
      </c>
      <c r="G7" s="49">
        <f t="shared" si="1"/>
        <v>0.07768</v>
      </c>
      <c r="H7" s="50">
        <f t="shared" si="2"/>
        <v>0.0002049815056</v>
      </c>
      <c r="I7" s="51">
        <f t="shared" si="5"/>
        <v>0.0006206419915</v>
      </c>
      <c r="J7" s="53">
        <f t="shared" si="6"/>
        <v>-0.00002301202685</v>
      </c>
      <c r="K7" s="40">
        <f t="shared" si="7"/>
        <v>0.001694335827</v>
      </c>
    </row>
    <row r="8">
      <c r="A8" s="46">
        <v>43319.0</v>
      </c>
      <c r="B8" s="11">
        <v>100.6442</v>
      </c>
      <c r="C8" s="47">
        <f t="shared" si="3"/>
        <v>0.0002007473366</v>
      </c>
      <c r="D8" s="42">
        <v>11389.45</v>
      </c>
      <c r="E8" s="11">
        <f t="shared" si="4"/>
        <v>0.0002063738792</v>
      </c>
      <c r="F8" s="48">
        <v>7.786</v>
      </c>
      <c r="G8" s="49">
        <f t="shared" si="1"/>
        <v>0.07786</v>
      </c>
      <c r="H8" s="50">
        <f t="shared" si="2"/>
        <v>0.0002054391653</v>
      </c>
      <c r="I8" s="51">
        <f t="shared" si="5"/>
        <v>0.002232687725</v>
      </c>
      <c r="J8" s="53">
        <f t="shared" si="6"/>
        <v>-0.002031940389</v>
      </c>
      <c r="K8" s="40">
        <f t="shared" si="7"/>
        <v>-0.002026313846</v>
      </c>
    </row>
    <row r="9">
      <c r="A9" s="46">
        <v>43320.0</v>
      </c>
      <c r="B9" s="11">
        <v>100.6655</v>
      </c>
      <c r="C9" s="47">
        <f t="shared" si="3"/>
        <v>0.0002116366368</v>
      </c>
      <c r="D9" s="42">
        <v>11450.0</v>
      </c>
      <c r="E9" s="11">
        <f t="shared" si="4"/>
        <v>0.00531632344</v>
      </c>
      <c r="F9" s="48">
        <v>7.782</v>
      </c>
      <c r="G9" s="49">
        <f t="shared" si="1"/>
        <v>0.07782</v>
      </c>
      <c r="H9" s="50">
        <f t="shared" si="2"/>
        <v>0.0002053374697</v>
      </c>
      <c r="I9" s="51">
        <f t="shared" si="5"/>
        <v>-0.0004950154771</v>
      </c>
      <c r="J9" s="53">
        <f t="shared" si="6"/>
        <v>0.0007066521139</v>
      </c>
      <c r="K9" s="40">
        <f t="shared" si="7"/>
        <v>0.005811338917</v>
      </c>
    </row>
    <row r="10">
      <c r="A10" s="46">
        <v>43321.0</v>
      </c>
      <c r="B10" s="11">
        <v>100.6899</v>
      </c>
      <c r="C10" s="47">
        <f t="shared" si="3"/>
        <v>0.0002423869151</v>
      </c>
      <c r="D10" s="42">
        <v>11470.7</v>
      </c>
      <c r="E10" s="11">
        <f t="shared" si="4"/>
        <v>0.001807860262</v>
      </c>
      <c r="F10" s="48">
        <v>7.745</v>
      </c>
      <c r="G10" s="49">
        <f t="shared" si="1"/>
        <v>0.07745</v>
      </c>
      <c r="H10" s="50">
        <f t="shared" si="2"/>
        <v>0.0002043966073</v>
      </c>
      <c r="I10" s="51">
        <f t="shared" si="5"/>
        <v>-0.004582030051</v>
      </c>
      <c r="J10" s="53">
        <f t="shared" si="6"/>
        <v>0.004824416966</v>
      </c>
      <c r="K10" s="40">
        <f t="shared" si="7"/>
        <v>0.006389890313</v>
      </c>
    </row>
    <row r="11">
      <c r="A11" s="54">
        <v>43322.0</v>
      </c>
      <c r="B11" s="11">
        <v>100.7142</v>
      </c>
      <c r="C11" s="47">
        <f t="shared" si="3"/>
        <v>0.0002413350296</v>
      </c>
      <c r="D11" s="42">
        <v>11429.5</v>
      </c>
      <c r="E11" s="11">
        <f t="shared" si="4"/>
        <v>-0.003591759875</v>
      </c>
      <c r="F11" s="48">
        <v>7.754</v>
      </c>
      <c r="G11" s="49">
        <f t="shared" si="1"/>
        <v>0.07754</v>
      </c>
      <c r="H11" s="50">
        <f t="shared" si="2"/>
        <v>0.0002046254953</v>
      </c>
      <c r="I11" s="51">
        <f t="shared" si="5"/>
        <v>0.001119823322</v>
      </c>
      <c r="J11" s="53">
        <f t="shared" si="6"/>
        <v>-0.0008784882927</v>
      </c>
      <c r="K11" s="40">
        <f t="shared" si="7"/>
        <v>-0.004711583198</v>
      </c>
    </row>
    <row r="12">
      <c r="A12" s="54">
        <v>43325.0</v>
      </c>
      <c r="B12" s="11">
        <v>100.7713</v>
      </c>
      <c r="C12" s="47">
        <f t="shared" si="3"/>
        <v>0.0005669508371</v>
      </c>
      <c r="D12" s="42">
        <v>11355.75</v>
      </c>
      <c r="E12" s="11">
        <f t="shared" si="4"/>
        <v>-0.006452600726</v>
      </c>
      <c r="F12" s="48">
        <v>7.823</v>
      </c>
      <c r="G12" s="49">
        <f t="shared" si="1"/>
        <v>0.07823</v>
      </c>
      <c r="H12" s="50">
        <f t="shared" si="2"/>
        <v>0.0002063796709</v>
      </c>
      <c r="I12" s="51">
        <f t="shared" si="5"/>
        <v>0.008572614779</v>
      </c>
      <c r="J12" s="53">
        <f t="shared" si="6"/>
        <v>-0.008005663942</v>
      </c>
      <c r="K12" s="40">
        <f t="shared" si="7"/>
        <v>-0.0150252155</v>
      </c>
    </row>
    <row r="13">
      <c r="A13" s="54">
        <v>43326.0</v>
      </c>
      <c r="B13" s="11">
        <v>100.7918</v>
      </c>
      <c r="C13" s="47">
        <f t="shared" si="3"/>
        <v>0.0002034309372</v>
      </c>
      <c r="D13" s="42">
        <v>11435.1</v>
      </c>
      <c r="E13" s="11">
        <f t="shared" si="4"/>
        <v>0.006987649429</v>
      </c>
      <c r="F13" s="48">
        <v>7.818</v>
      </c>
      <c r="G13" s="49">
        <f t="shared" si="1"/>
        <v>0.07818</v>
      </c>
      <c r="H13" s="50">
        <f t="shared" si="2"/>
        <v>0.0002062525943</v>
      </c>
      <c r="I13" s="51">
        <f t="shared" si="5"/>
        <v>-0.0006157415713</v>
      </c>
      <c r="J13" s="53">
        <f t="shared" si="6"/>
        <v>0.0008191725085</v>
      </c>
      <c r="K13" s="40">
        <f t="shared" si="7"/>
        <v>0.007603391</v>
      </c>
    </row>
    <row r="14">
      <c r="A14" s="54">
        <v>43328.0</v>
      </c>
      <c r="B14" s="11">
        <v>100.8307</v>
      </c>
      <c r="C14" s="47">
        <f t="shared" si="3"/>
        <v>0.0003859440947</v>
      </c>
      <c r="D14" s="42">
        <v>11385.05</v>
      </c>
      <c r="E14" s="11">
        <f t="shared" si="4"/>
        <v>-0.00437687471</v>
      </c>
      <c r="F14" s="48">
        <v>7.861</v>
      </c>
      <c r="G14" s="49">
        <f t="shared" si="1"/>
        <v>0.07861</v>
      </c>
      <c r="H14" s="50">
        <f t="shared" si="2"/>
        <v>0.0002073452606</v>
      </c>
      <c r="I14" s="51">
        <f t="shared" si="5"/>
        <v>0.005297709177</v>
      </c>
      <c r="J14" s="53">
        <f t="shared" si="6"/>
        <v>-0.004911765083</v>
      </c>
      <c r="K14" s="40">
        <f t="shared" si="7"/>
        <v>-0.009674583888</v>
      </c>
    </row>
    <row r="15">
      <c r="A15" s="54">
        <v>43332.0</v>
      </c>
      <c r="B15" s="11">
        <v>100.909</v>
      </c>
      <c r="C15" s="47">
        <f t="shared" si="3"/>
        <v>0.0007765492057</v>
      </c>
      <c r="D15" s="42">
        <v>11470.75</v>
      </c>
      <c r="E15" s="11">
        <f t="shared" si="4"/>
        <v>0.007527415339</v>
      </c>
      <c r="F15" s="48">
        <v>7.838</v>
      </c>
      <c r="G15" s="49">
        <f t="shared" si="1"/>
        <v>0.07838</v>
      </c>
      <c r="H15" s="50">
        <f t="shared" si="2"/>
        <v>0.0002067608653</v>
      </c>
      <c r="I15" s="51">
        <f t="shared" si="5"/>
        <v>-0.002818464941</v>
      </c>
      <c r="J15" s="53">
        <f t="shared" si="6"/>
        <v>0.003595014147</v>
      </c>
      <c r="K15" s="40">
        <f t="shared" si="7"/>
        <v>0.01034588028</v>
      </c>
    </row>
    <row r="16">
      <c r="A16" s="54">
        <v>43333.0</v>
      </c>
      <c r="B16" s="11">
        <v>100.9241</v>
      </c>
      <c r="C16" s="47">
        <f t="shared" si="3"/>
        <v>0.0001496397745</v>
      </c>
      <c r="D16" s="42">
        <v>11551.75</v>
      </c>
      <c r="E16" s="11">
        <f t="shared" si="4"/>
        <v>0.007061438877</v>
      </c>
      <c r="F16" s="48">
        <v>7.827</v>
      </c>
      <c r="G16" s="49">
        <f t="shared" si="1"/>
        <v>0.07827</v>
      </c>
      <c r="H16" s="50">
        <f t="shared" si="2"/>
        <v>0.0002064813279</v>
      </c>
      <c r="I16" s="51">
        <f t="shared" si="5"/>
        <v>-0.001351983936</v>
      </c>
      <c r="J16" s="53">
        <f t="shared" si="6"/>
        <v>0.00150162371</v>
      </c>
      <c r="K16" s="40">
        <f t="shared" si="7"/>
        <v>0.008413422813</v>
      </c>
    </row>
    <row r="17">
      <c r="A17" s="54">
        <v>43335.0</v>
      </c>
      <c r="B17" s="11">
        <v>100.9597</v>
      </c>
      <c r="C17" s="47">
        <f t="shared" si="3"/>
        <v>0.0003527403266</v>
      </c>
      <c r="D17" s="42">
        <v>11570.9</v>
      </c>
      <c r="E17" s="11">
        <f t="shared" si="4"/>
        <v>0.001657757483</v>
      </c>
      <c r="F17" s="48">
        <v>7.879</v>
      </c>
      <c r="G17" s="49">
        <f t="shared" si="1"/>
        <v>0.07879</v>
      </c>
      <c r="H17" s="50">
        <f t="shared" si="2"/>
        <v>0.0002078025268</v>
      </c>
      <c r="I17" s="51">
        <f t="shared" si="5"/>
        <v>0.006398636287</v>
      </c>
      <c r="J17" s="53">
        <f t="shared" si="6"/>
        <v>-0.00604589596</v>
      </c>
      <c r="K17" s="40">
        <f t="shared" si="7"/>
        <v>-0.004740878804</v>
      </c>
    </row>
    <row r="18">
      <c r="A18" s="54">
        <v>43336.0</v>
      </c>
      <c r="B18" s="11">
        <v>100.976</v>
      </c>
      <c r="C18" s="47">
        <f t="shared" si="3"/>
        <v>0.000161450559</v>
      </c>
      <c r="D18" s="42">
        <v>11582.75</v>
      </c>
      <c r="E18" s="11">
        <f t="shared" si="4"/>
        <v>0.001024120855</v>
      </c>
      <c r="F18" s="48">
        <v>7.871</v>
      </c>
      <c r="G18" s="49">
        <f t="shared" si="1"/>
        <v>0.07871</v>
      </c>
      <c r="H18" s="50">
        <f t="shared" si="2"/>
        <v>0.0002075993068</v>
      </c>
      <c r="I18" s="51">
        <f t="shared" si="5"/>
        <v>-0.0009779478224</v>
      </c>
      <c r="J18" s="53">
        <f t="shared" si="6"/>
        <v>0.001139398381</v>
      </c>
      <c r="K18" s="40">
        <f t="shared" si="7"/>
        <v>0.002002068677</v>
      </c>
    </row>
    <row r="19">
      <c r="A19" s="54">
        <v>43339.0</v>
      </c>
      <c r="B19" s="11">
        <v>101.0349</v>
      </c>
      <c r="C19" s="47">
        <f t="shared" si="3"/>
        <v>0.0005833069244</v>
      </c>
      <c r="D19" s="42">
        <v>11557.1</v>
      </c>
      <c r="E19" s="11">
        <f t="shared" si="4"/>
        <v>-0.002214500011</v>
      </c>
      <c r="F19" s="48">
        <v>7.894</v>
      </c>
      <c r="G19" s="49">
        <f t="shared" si="1"/>
        <v>0.07894</v>
      </c>
      <c r="H19" s="50">
        <f t="shared" si="2"/>
        <v>0.0002081835239</v>
      </c>
      <c r="I19" s="51">
        <f t="shared" si="5"/>
        <v>0.00281415717</v>
      </c>
      <c r="J19" s="53">
        <f t="shared" si="6"/>
        <v>-0.002230850245</v>
      </c>
      <c r="K19" s="40">
        <f t="shared" si="7"/>
        <v>-0.005028657181</v>
      </c>
    </row>
    <row r="20">
      <c r="A20" s="54">
        <v>43340.0</v>
      </c>
      <c r="B20" s="11">
        <v>101.0551</v>
      </c>
      <c r="C20" s="47">
        <f t="shared" si="3"/>
        <v>0.000199930915</v>
      </c>
      <c r="D20" s="42">
        <v>11691.95</v>
      </c>
      <c r="E20" s="11">
        <f t="shared" si="4"/>
        <v>0.01166815205</v>
      </c>
      <c r="F20" s="48">
        <v>7.895</v>
      </c>
      <c r="G20" s="49">
        <f t="shared" si="1"/>
        <v>0.07895</v>
      </c>
      <c r="H20" s="50">
        <f t="shared" si="2"/>
        <v>0.0002082089218</v>
      </c>
      <c r="I20" s="51">
        <f t="shared" si="5"/>
        <v>0.0001219977673</v>
      </c>
      <c r="J20" s="53">
        <f t="shared" si="6"/>
        <v>0.00007793314767</v>
      </c>
      <c r="K20" s="40">
        <f t="shared" si="7"/>
        <v>0.01154615428</v>
      </c>
    </row>
    <row r="21">
      <c r="A21" s="54">
        <v>43341.0</v>
      </c>
      <c r="B21" s="11">
        <v>101.0769</v>
      </c>
      <c r="C21" s="47">
        <f t="shared" si="3"/>
        <v>0.0002157238972</v>
      </c>
      <c r="D21" s="42">
        <v>11738.5</v>
      </c>
      <c r="E21" s="11">
        <f t="shared" si="4"/>
        <v>0.003981371799</v>
      </c>
      <c r="F21" s="48">
        <v>7.918</v>
      </c>
      <c r="G21" s="49">
        <f t="shared" si="1"/>
        <v>0.07918</v>
      </c>
      <c r="H21" s="50">
        <f t="shared" si="2"/>
        <v>0.0002087930093</v>
      </c>
      <c r="I21" s="51">
        <f t="shared" si="5"/>
        <v>0.00280529523</v>
      </c>
      <c r="J21" s="53">
        <f t="shared" si="6"/>
        <v>-0.002589571332</v>
      </c>
      <c r="K21" s="40">
        <f t="shared" si="7"/>
        <v>0.001176076569</v>
      </c>
    </row>
    <row r="22">
      <c r="A22" s="54">
        <v>43342.0</v>
      </c>
      <c r="B22" s="11">
        <v>101.098</v>
      </c>
      <c r="C22" s="47">
        <f t="shared" si="3"/>
        <v>0.0002087519502</v>
      </c>
      <c r="D22" s="42">
        <v>11691.9</v>
      </c>
      <c r="E22" s="11">
        <f t="shared" si="4"/>
        <v>-0.003969842825</v>
      </c>
      <c r="F22" s="48">
        <v>7.93</v>
      </c>
      <c r="G22" s="49">
        <f t="shared" si="1"/>
        <v>0.0793</v>
      </c>
      <c r="H22" s="50">
        <f t="shared" si="2"/>
        <v>0.0002090977013</v>
      </c>
      <c r="I22" s="51">
        <f t="shared" si="5"/>
        <v>0.001459301838</v>
      </c>
      <c r="J22" s="53">
        <f t="shared" si="6"/>
        <v>-0.001250549888</v>
      </c>
      <c r="K22" s="40">
        <f t="shared" si="7"/>
        <v>-0.005429144663</v>
      </c>
    </row>
    <row r="23">
      <c r="A23" s="54">
        <v>43343.0</v>
      </c>
      <c r="B23" s="11">
        <v>100.3976</v>
      </c>
      <c r="C23" s="47">
        <f t="shared" si="3"/>
        <v>-0.006927931314</v>
      </c>
      <c r="D23" s="42">
        <v>11676.8</v>
      </c>
      <c r="E23" s="11">
        <f t="shared" si="4"/>
        <v>-0.001291492401</v>
      </c>
      <c r="F23" s="48">
        <v>7.951</v>
      </c>
      <c r="G23" s="49">
        <f t="shared" si="1"/>
        <v>0.07951</v>
      </c>
      <c r="H23" s="50">
        <f t="shared" si="2"/>
        <v>0.0002096308311</v>
      </c>
      <c r="I23" s="51">
        <f t="shared" si="5"/>
        <v>0.00254966818</v>
      </c>
      <c r="J23" s="53">
        <f t="shared" si="6"/>
        <v>-0.009477599494</v>
      </c>
      <c r="K23" s="40">
        <f t="shared" si="7"/>
        <v>-0.00384116058</v>
      </c>
    </row>
    <row r="24">
      <c r="A24" s="46">
        <v>43346.0</v>
      </c>
      <c r="B24" s="11">
        <v>100.4594</v>
      </c>
      <c r="C24" s="47">
        <f t="shared" si="3"/>
        <v>0.000615552563</v>
      </c>
      <c r="D24" s="42">
        <v>11680.5</v>
      </c>
      <c r="E24" s="11">
        <f t="shared" si="4"/>
        <v>0.000316867635</v>
      </c>
      <c r="F24" s="48">
        <v>7.999</v>
      </c>
      <c r="G24" s="49">
        <f t="shared" si="1"/>
        <v>0.07999</v>
      </c>
      <c r="H24" s="50">
        <f t="shared" si="2"/>
        <v>0.0002108490251</v>
      </c>
      <c r="I24" s="51">
        <f t="shared" si="5"/>
        <v>0.005811139589</v>
      </c>
      <c r="J24" s="53">
        <f t="shared" si="6"/>
        <v>-0.005195587026</v>
      </c>
      <c r="K24" s="40">
        <f t="shared" si="7"/>
        <v>-0.005494271954</v>
      </c>
    </row>
    <row r="25">
      <c r="A25" s="46">
        <v>43347.0</v>
      </c>
      <c r="B25" s="11">
        <v>100.4804</v>
      </c>
      <c r="C25" s="47">
        <f t="shared" si="3"/>
        <v>0.0002090396717</v>
      </c>
      <c r="D25" s="42">
        <v>11582.35</v>
      </c>
      <c r="E25" s="11">
        <f t="shared" si="4"/>
        <v>-0.008402893712</v>
      </c>
      <c r="F25" s="48">
        <v>8.062</v>
      </c>
      <c r="G25" s="49">
        <f t="shared" si="1"/>
        <v>0.08062</v>
      </c>
      <c r="H25" s="50">
        <f t="shared" si="2"/>
        <v>0.0002124470856</v>
      </c>
      <c r="I25" s="51">
        <f t="shared" si="5"/>
        <v>0.007579169536</v>
      </c>
      <c r="J25" s="53">
        <f t="shared" si="6"/>
        <v>-0.007370129864</v>
      </c>
      <c r="K25" s="40">
        <f t="shared" si="7"/>
        <v>-0.01598206325</v>
      </c>
    </row>
    <row r="26">
      <c r="A26" s="46">
        <v>43348.0</v>
      </c>
      <c r="B26" s="11">
        <v>100.4976</v>
      </c>
      <c r="C26" s="47">
        <f t="shared" si="3"/>
        <v>0.0001711776625</v>
      </c>
      <c r="D26" s="42">
        <v>11520.3</v>
      </c>
      <c r="E26" s="11">
        <f t="shared" si="4"/>
        <v>-0.005357289324</v>
      </c>
      <c r="F26" s="48">
        <v>8.049</v>
      </c>
      <c r="G26" s="49">
        <f t="shared" si="1"/>
        <v>0.08049</v>
      </c>
      <c r="H26" s="50">
        <f t="shared" si="2"/>
        <v>0.0002121174032</v>
      </c>
      <c r="I26" s="51">
        <f t="shared" si="5"/>
        <v>-0.00155183312</v>
      </c>
      <c r="J26" s="53">
        <f t="shared" si="6"/>
        <v>0.001723010782</v>
      </c>
      <c r="K26" s="40">
        <f t="shared" si="7"/>
        <v>-0.003805456204</v>
      </c>
    </row>
    <row r="27">
      <c r="A27" s="46">
        <v>43349.0</v>
      </c>
      <c r="B27" s="11">
        <v>100.5207</v>
      </c>
      <c r="C27" s="47">
        <f t="shared" si="3"/>
        <v>0.0002298562354</v>
      </c>
      <c r="D27" s="42">
        <v>11476.95</v>
      </c>
      <c r="E27" s="11">
        <f t="shared" si="4"/>
        <v>-0.003762922841</v>
      </c>
      <c r="F27" s="48">
        <v>8.056</v>
      </c>
      <c r="G27" s="49">
        <f t="shared" si="1"/>
        <v>0.08056</v>
      </c>
      <c r="H27" s="50">
        <f t="shared" si="2"/>
        <v>0.0002122949294</v>
      </c>
      <c r="I27" s="51">
        <f t="shared" si="5"/>
        <v>0.0008369243519</v>
      </c>
      <c r="J27" s="53">
        <f t="shared" si="6"/>
        <v>-0.0006070681165</v>
      </c>
      <c r="K27" s="40">
        <f t="shared" si="7"/>
        <v>-0.004599847192</v>
      </c>
    </row>
    <row r="28">
      <c r="A28" s="46">
        <v>43350.0</v>
      </c>
      <c r="B28" s="11">
        <v>100.5423</v>
      </c>
      <c r="C28" s="47">
        <f t="shared" si="3"/>
        <v>0.000214881114</v>
      </c>
      <c r="D28" s="42">
        <v>11536.9</v>
      </c>
      <c r="E28" s="11">
        <f t="shared" si="4"/>
        <v>0.005223513216</v>
      </c>
      <c r="F28" s="48">
        <v>8.031</v>
      </c>
      <c r="G28" s="49">
        <f t="shared" si="1"/>
        <v>0.08031</v>
      </c>
      <c r="H28" s="50">
        <f t="shared" si="2"/>
        <v>0.0002116608545</v>
      </c>
      <c r="I28" s="51">
        <f t="shared" si="5"/>
        <v>-0.002986764162</v>
      </c>
      <c r="J28" s="53">
        <f t="shared" si="6"/>
        <v>0.003201645276</v>
      </c>
      <c r="K28" s="40">
        <f t="shared" si="7"/>
        <v>0.008210277377</v>
      </c>
    </row>
    <row r="29">
      <c r="A29" s="54">
        <v>43353.0</v>
      </c>
      <c r="B29" s="11">
        <v>100.573</v>
      </c>
      <c r="C29" s="47">
        <f t="shared" si="3"/>
        <v>0.0003053441188</v>
      </c>
      <c r="D29" s="42">
        <v>11589.1</v>
      </c>
      <c r="E29" s="11">
        <f t="shared" si="4"/>
        <v>0.004524612331</v>
      </c>
      <c r="F29" s="48">
        <v>8.158</v>
      </c>
      <c r="G29" s="49">
        <f t="shared" si="1"/>
        <v>0.08158</v>
      </c>
      <c r="H29" s="50">
        <f t="shared" si="2"/>
        <v>0.0002148804397</v>
      </c>
      <c r="I29" s="51">
        <f t="shared" si="5"/>
        <v>0.01521105641</v>
      </c>
      <c r="J29" s="53">
        <f t="shared" si="6"/>
        <v>-0.01490571229</v>
      </c>
      <c r="K29" s="40">
        <f t="shared" si="7"/>
        <v>-0.01068644407</v>
      </c>
    </row>
    <row r="30">
      <c r="A30" s="54">
        <v>43354.0</v>
      </c>
      <c r="B30" s="11">
        <v>100.5599</v>
      </c>
      <c r="C30" s="47">
        <f t="shared" si="3"/>
        <v>-0.0001302536466</v>
      </c>
      <c r="D30" s="42">
        <v>11438.1</v>
      </c>
      <c r="E30" s="11">
        <f t="shared" si="4"/>
        <v>-0.0130294846</v>
      </c>
      <c r="F30" s="48">
        <v>8.182</v>
      </c>
      <c r="G30" s="49">
        <f t="shared" si="1"/>
        <v>0.08182</v>
      </c>
      <c r="H30" s="50">
        <f t="shared" si="2"/>
        <v>0.0002154884417</v>
      </c>
      <c r="I30" s="51">
        <f t="shared" si="5"/>
        <v>0.002829489644</v>
      </c>
      <c r="J30" s="53">
        <f t="shared" si="6"/>
        <v>-0.00295974329</v>
      </c>
      <c r="K30" s="40">
        <f t="shared" si="7"/>
        <v>-0.01585897425</v>
      </c>
    </row>
    <row r="31">
      <c r="A31" s="54">
        <v>43355.0</v>
      </c>
      <c r="B31" s="11">
        <v>100.5775</v>
      </c>
      <c r="C31" s="47">
        <f t="shared" si="3"/>
        <v>0.0001750200627</v>
      </c>
      <c r="D31" s="42">
        <v>11287.5</v>
      </c>
      <c r="E31" s="11">
        <f t="shared" si="4"/>
        <v>-0.01316652241</v>
      </c>
      <c r="F31" s="48">
        <v>8.134</v>
      </c>
      <c r="G31" s="49">
        <f t="shared" si="1"/>
        <v>0.08134</v>
      </c>
      <c r="H31" s="50">
        <f t="shared" si="2"/>
        <v>0.0002142723032</v>
      </c>
      <c r="I31" s="51">
        <f t="shared" si="5"/>
        <v>-0.005643636882</v>
      </c>
      <c r="J31" s="53">
        <f t="shared" si="6"/>
        <v>0.005818656944</v>
      </c>
      <c r="K31" s="40">
        <f t="shared" si="7"/>
        <v>-0.00752288553</v>
      </c>
    </row>
    <row r="32">
      <c r="A32" s="54">
        <v>43357.0</v>
      </c>
      <c r="B32" s="11">
        <v>100.6168</v>
      </c>
      <c r="C32" s="47">
        <f t="shared" si="3"/>
        <v>0.0003907434565</v>
      </c>
      <c r="D32" s="42">
        <v>11369.9</v>
      </c>
      <c r="E32" s="11">
        <f t="shared" si="4"/>
        <v>0.007300110742</v>
      </c>
      <c r="F32" s="48">
        <v>8.127</v>
      </c>
      <c r="G32" s="49">
        <f t="shared" si="1"/>
        <v>0.08127</v>
      </c>
      <c r="H32" s="50">
        <f t="shared" si="2"/>
        <v>0.0002140949046</v>
      </c>
      <c r="I32" s="51">
        <f t="shared" si="5"/>
        <v>-0.0008279115393</v>
      </c>
      <c r="J32" s="53">
        <f t="shared" si="6"/>
        <v>0.001218654996</v>
      </c>
      <c r="K32" s="40">
        <f t="shared" si="7"/>
        <v>0.008128022281</v>
      </c>
    </row>
    <row r="33">
      <c r="A33" s="54">
        <v>43360.0</v>
      </c>
      <c r="B33" s="11">
        <v>100.6773</v>
      </c>
      <c r="C33" s="47">
        <f t="shared" si="3"/>
        <v>0.0006012912357</v>
      </c>
      <c r="D33" s="42">
        <v>11515.2</v>
      </c>
      <c r="E33" s="11">
        <f t="shared" si="4"/>
        <v>0.01277935602</v>
      </c>
      <c r="F33" s="48">
        <v>8.124</v>
      </c>
      <c r="G33" s="49">
        <f t="shared" si="1"/>
        <v>0.08124</v>
      </c>
      <c r="H33" s="50">
        <f t="shared" si="2"/>
        <v>0.0002140188732</v>
      </c>
      <c r="I33" s="51">
        <f t="shared" si="5"/>
        <v>-0.0003551296092</v>
      </c>
      <c r="J33" s="53">
        <f t="shared" si="6"/>
        <v>0.0009564208448</v>
      </c>
      <c r="K33" s="40">
        <f t="shared" si="7"/>
        <v>0.01313448563</v>
      </c>
    </row>
    <row r="34">
      <c r="A34" s="54">
        <v>43361.0</v>
      </c>
      <c r="B34" s="11">
        <v>100.7065</v>
      </c>
      <c r="C34" s="47">
        <f t="shared" si="3"/>
        <v>0.000290035589</v>
      </c>
      <c r="D34" s="42">
        <v>11377.75</v>
      </c>
      <c r="E34" s="11">
        <f t="shared" si="4"/>
        <v>-0.01193639711</v>
      </c>
      <c r="F34" s="48">
        <v>8.098</v>
      </c>
      <c r="G34" s="49">
        <f t="shared" si="1"/>
        <v>0.08098</v>
      </c>
      <c r="H34" s="50">
        <f t="shared" si="2"/>
        <v>0.0002133598459</v>
      </c>
      <c r="I34" s="51">
        <f t="shared" si="5"/>
        <v>-0.003079295179</v>
      </c>
      <c r="J34" s="53">
        <f t="shared" si="6"/>
        <v>0.003369330768</v>
      </c>
      <c r="K34" s="40">
        <f t="shared" si="7"/>
        <v>-0.008857101931</v>
      </c>
    </row>
    <row r="35">
      <c r="A35" s="54">
        <v>43362.0</v>
      </c>
      <c r="B35" s="11">
        <v>100.7247</v>
      </c>
      <c r="C35" s="47">
        <f t="shared" si="3"/>
        <v>0.0001807231907</v>
      </c>
      <c r="D35" s="42">
        <v>11278.9</v>
      </c>
      <c r="E35" s="11">
        <f t="shared" si="4"/>
        <v>-0.008688009492</v>
      </c>
      <c r="F35" s="48">
        <v>8.14</v>
      </c>
      <c r="G35" s="49">
        <f t="shared" si="1"/>
        <v>0.0814</v>
      </c>
      <c r="H35" s="50">
        <f t="shared" si="2"/>
        <v>0.0002144243499</v>
      </c>
      <c r="I35" s="51">
        <f t="shared" si="5"/>
        <v>0.004989242399</v>
      </c>
      <c r="J35" s="53">
        <f t="shared" si="6"/>
        <v>-0.004808519208</v>
      </c>
      <c r="K35" s="40">
        <f t="shared" si="7"/>
        <v>-0.01367725189</v>
      </c>
    </row>
    <row r="36">
      <c r="A36" s="54">
        <v>43364.0</v>
      </c>
      <c r="B36" s="11">
        <v>100.7649</v>
      </c>
      <c r="C36" s="47">
        <f t="shared" si="3"/>
        <v>0.0003991076667</v>
      </c>
      <c r="D36" s="42">
        <v>11234.35</v>
      </c>
      <c r="E36" s="11">
        <f t="shared" si="4"/>
        <v>-0.003949853266</v>
      </c>
      <c r="F36" s="48">
        <v>8.074</v>
      </c>
      <c r="G36" s="49">
        <f t="shared" si="1"/>
        <v>0.08074</v>
      </c>
      <c r="H36" s="50">
        <f t="shared" si="2"/>
        <v>0.0002127513727</v>
      </c>
      <c r="I36" s="51">
        <f t="shared" si="5"/>
        <v>-0.007802179127</v>
      </c>
      <c r="J36" s="53">
        <f t="shared" si="6"/>
        <v>0.008201286794</v>
      </c>
      <c r="K36" s="40">
        <f t="shared" si="7"/>
        <v>0.003852325862</v>
      </c>
    </row>
    <row r="37">
      <c r="A37" s="54">
        <v>43367.0</v>
      </c>
      <c r="B37" s="11">
        <v>100.799</v>
      </c>
      <c r="C37" s="47">
        <f t="shared" si="3"/>
        <v>0.0003384114905</v>
      </c>
      <c r="D37" s="42">
        <v>11143.1</v>
      </c>
      <c r="E37" s="11">
        <f t="shared" si="4"/>
        <v>-0.008122410286</v>
      </c>
      <c r="F37" s="48">
        <v>8.076</v>
      </c>
      <c r="G37" s="49">
        <f t="shared" si="1"/>
        <v>0.08076</v>
      </c>
      <c r="H37" s="50">
        <f t="shared" si="2"/>
        <v>0.000212802084</v>
      </c>
      <c r="I37" s="51">
        <f t="shared" si="5"/>
        <v>0.0002383591968</v>
      </c>
      <c r="J37" s="53">
        <f t="shared" si="6"/>
        <v>0.0001000522937</v>
      </c>
      <c r="K37" s="40">
        <f t="shared" si="7"/>
        <v>-0.008360769483</v>
      </c>
    </row>
    <row r="38">
      <c r="A38" s="54">
        <v>43368.0</v>
      </c>
      <c r="B38" s="11">
        <v>100.7504</v>
      </c>
      <c r="C38" s="47">
        <f t="shared" si="3"/>
        <v>-0.0004821476404</v>
      </c>
      <c r="D38" s="42">
        <v>10967.4</v>
      </c>
      <c r="E38" s="11">
        <f t="shared" si="4"/>
        <v>-0.01576760507</v>
      </c>
      <c r="F38" s="48">
        <v>8.122</v>
      </c>
      <c r="G38" s="49">
        <f t="shared" si="1"/>
        <v>0.08122</v>
      </c>
      <c r="H38" s="50">
        <f t="shared" si="2"/>
        <v>0.0002139681844</v>
      </c>
      <c r="I38" s="51">
        <f t="shared" si="5"/>
        <v>0.00547974164</v>
      </c>
      <c r="J38" s="53">
        <f t="shared" si="6"/>
        <v>-0.005961889281</v>
      </c>
      <c r="K38" s="40">
        <f t="shared" si="7"/>
        <v>-0.02124734671</v>
      </c>
    </row>
    <row r="39">
      <c r="A39" s="54">
        <v>43369.0</v>
      </c>
      <c r="B39" s="11">
        <v>100.7688</v>
      </c>
      <c r="C39" s="47">
        <f t="shared" si="3"/>
        <v>0.0001826295479</v>
      </c>
      <c r="D39" s="42">
        <v>11067.45</v>
      </c>
      <c r="E39" s="11">
        <f t="shared" si="4"/>
        <v>0.009122490289</v>
      </c>
      <c r="F39" s="48">
        <v>8.125</v>
      </c>
      <c r="G39" s="49">
        <f t="shared" si="1"/>
        <v>0.08125</v>
      </c>
      <c r="H39" s="50">
        <f t="shared" si="2"/>
        <v>0.0002140442172</v>
      </c>
      <c r="I39" s="51">
        <f t="shared" si="5"/>
        <v>0.0003553464861</v>
      </c>
      <c r="J39" s="53">
        <f t="shared" si="6"/>
        <v>-0.0001727169382</v>
      </c>
      <c r="K39" s="40">
        <f t="shared" si="7"/>
        <v>0.008767143803</v>
      </c>
    </row>
    <row r="40">
      <c r="A40" s="54">
        <v>43370.0</v>
      </c>
      <c r="B40" s="11">
        <v>100.8609</v>
      </c>
      <c r="C40" s="47">
        <f t="shared" si="3"/>
        <v>0.0009139733727</v>
      </c>
      <c r="D40" s="42">
        <v>11053.8</v>
      </c>
      <c r="E40" s="11">
        <f t="shared" si="4"/>
        <v>-0.001233346435</v>
      </c>
      <c r="F40" s="48">
        <v>8.072</v>
      </c>
      <c r="G40" s="49">
        <f t="shared" si="1"/>
        <v>0.08072</v>
      </c>
      <c r="H40" s="50">
        <f t="shared" si="2"/>
        <v>0.0002127006605</v>
      </c>
      <c r="I40" s="51">
        <f t="shared" si="5"/>
        <v>-0.00627700542</v>
      </c>
      <c r="J40" s="53">
        <f t="shared" si="6"/>
        <v>0.007190978793</v>
      </c>
      <c r="K40" s="40">
        <f t="shared" si="7"/>
        <v>0.005043658986</v>
      </c>
    </row>
    <row r="41">
      <c r="A41" s="54">
        <v>43371.0</v>
      </c>
      <c r="B41" s="11">
        <v>100.4244</v>
      </c>
      <c r="C41" s="47">
        <f t="shared" si="3"/>
        <v>-0.004327742465</v>
      </c>
      <c r="D41" s="42">
        <v>10977.55</v>
      </c>
      <c r="E41" s="11">
        <f t="shared" si="4"/>
        <v>-0.006898080298</v>
      </c>
      <c r="F41" s="48">
        <v>8.027</v>
      </c>
      <c r="G41" s="49">
        <f t="shared" si="1"/>
        <v>0.08027</v>
      </c>
      <c r="H41" s="50">
        <f t="shared" si="2"/>
        <v>0.0002115593889</v>
      </c>
      <c r="I41" s="51">
        <f t="shared" si="5"/>
        <v>-0.005365623218</v>
      </c>
      <c r="J41" s="53">
        <f t="shared" si="6"/>
        <v>0.001037880752</v>
      </c>
      <c r="K41" s="40">
        <f t="shared" si="7"/>
        <v>-0.001532457081</v>
      </c>
    </row>
    <row r="42">
      <c r="A42" s="46">
        <v>43374.0</v>
      </c>
      <c r="B42" s="11">
        <v>100.503</v>
      </c>
      <c r="C42" s="47">
        <f t="shared" si="3"/>
        <v>0.0007826783132</v>
      </c>
      <c r="D42" s="42">
        <v>10930.45</v>
      </c>
      <c r="E42" s="11">
        <f t="shared" si="4"/>
        <v>-0.004290574855</v>
      </c>
      <c r="F42" s="48">
        <v>8.024</v>
      </c>
      <c r="G42" s="49">
        <f t="shared" si="1"/>
        <v>0.08024</v>
      </c>
      <c r="H42" s="50">
        <f t="shared" si="2"/>
        <v>0.0002114832873</v>
      </c>
      <c r="I42" s="51">
        <f t="shared" si="5"/>
        <v>-0.0003597175728</v>
      </c>
      <c r="J42" s="53">
        <f t="shared" si="6"/>
        <v>0.001142395886</v>
      </c>
      <c r="K42" s="40">
        <f t="shared" si="7"/>
        <v>-0.003930857282</v>
      </c>
    </row>
    <row r="43">
      <c r="A43" s="46">
        <v>43376.0</v>
      </c>
      <c r="B43" s="11">
        <v>100.5391</v>
      </c>
      <c r="C43" s="47">
        <f t="shared" si="3"/>
        <v>0.0003591932579</v>
      </c>
      <c r="D43" s="42">
        <v>11008.3</v>
      </c>
      <c r="E43" s="11">
        <f t="shared" si="4"/>
        <v>0.00712230512</v>
      </c>
      <c r="F43" s="48">
        <v>7.988</v>
      </c>
      <c r="G43" s="49">
        <f t="shared" si="1"/>
        <v>0.07988</v>
      </c>
      <c r="H43" s="50">
        <f t="shared" si="2"/>
        <v>0.0002105699033</v>
      </c>
      <c r="I43" s="51">
        <f t="shared" si="5"/>
        <v>-0.004318941719</v>
      </c>
      <c r="J43" s="53">
        <f t="shared" si="6"/>
        <v>0.004678134977</v>
      </c>
      <c r="K43" s="40">
        <f t="shared" si="7"/>
        <v>0.01144124684</v>
      </c>
    </row>
    <row r="44">
      <c r="A44" s="46">
        <v>43377.0</v>
      </c>
      <c r="B44" s="11">
        <v>100.553</v>
      </c>
      <c r="C44" s="47">
        <f t="shared" si="3"/>
        <v>0.0001382546691</v>
      </c>
      <c r="D44" s="42">
        <v>10858.25</v>
      </c>
      <c r="E44" s="11">
        <f t="shared" si="4"/>
        <v>-0.01363062417</v>
      </c>
      <c r="F44" s="48">
        <v>8.112</v>
      </c>
      <c r="G44" s="49">
        <f t="shared" si="1"/>
        <v>0.08112</v>
      </c>
      <c r="H44" s="50">
        <f t="shared" si="2"/>
        <v>0.0002137147264</v>
      </c>
      <c r="I44" s="51">
        <f t="shared" si="5"/>
        <v>0.01493481757</v>
      </c>
      <c r="J44" s="53">
        <f t="shared" si="6"/>
        <v>-0.0147965629</v>
      </c>
      <c r="K44" s="40">
        <f t="shared" si="7"/>
        <v>-0.02856544173</v>
      </c>
    </row>
    <row r="45">
      <c r="A45" s="46">
        <v>43378.0</v>
      </c>
      <c r="B45" s="11">
        <v>100.6199</v>
      </c>
      <c r="C45" s="47">
        <f t="shared" si="3"/>
        <v>0.0006653207761</v>
      </c>
      <c r="D45" s="42">
        <v>10599.25</v>
      </c>
      <c r="E45" s="11">
        <f t="shared" si="4"/>
        <v>-0.0238528308</v>
      </c>
      <c r="F45" s="48">
        <v>8.158</v>
      </c>
      <c r="G45" s="49">
        <f t="shared" si="1"/>
        <v>0.08158</v>
      </c>
      <c r="H45" s="50">
        <f t="shared" si="2"/>
        <v>0.0002148804397</v>
      </c>
      <c r="I45" s="51">
        <f t="shared" si="5"/>
        <v>0.005454529544</v>
      </c>
      <c r="J45" s="53">
        <f t="shared" si="6"/>
        <v>-0.004789208768</v>
      </c>
      <c r="K45" s="40">
        <f t="shared" si="7"/>
        <v>-0.02930736034</v>
      </c>
    </row>
    <row r="46">
      <c r="A46" s="46">
        <v>43381.0</v>
      </c>
      <c r="B46" s="11">
        <v>100.6763</v>
      </c>
      <c r="C46" s="47">
        <f t="shared" si="3"/>
        <v>0.0005605253036</v>
      </c>
      <c r="D46" s="42">
        <v>10316.45</v>
      </c>
      <c r="E46" s="11">
        <f t="shared" si="4"/>
        <v>-0.0266811331</v>
      </c>
      <c r="F46" s="48">
        <v>8.024</v>
      </c>
      <c r="G46" s="49">
        <f t="shared" si="1"/>
        <v>0.08024</v>
      </c>
      <c r="H46" s="50">
        <f t="shared" si="2"/>
        <v>0.0002114832873</v>
      </c>
      <c r="I46" s="51">
        <f t="shared" si="5"/>
        <v>-0.01580950036</v>
      </c>
      <c r="J46" s="53">
        <f t="shared" si="6"/>
        <v>0.01637002566</v>
      </c>
      <c r="K46" s="40">
        <f t="shared" si="7"/>
        <v>-0.01087163274</v>
      </c>
    </row>
    <row r="47">
      <c r="A47" s="46">
        <v>43382.0</v>
      </c>
      <c r="B47" s="11">
        <v>100.6971</v>
      </c>
      <c r="C47" s="47">
        <f t="shared" si="3"/>
        <v>0.0002066027456</v>
      </c>
      <c r="D47" s="42">
        <v>10348.05</v>
      </c>
      <c r="E47" s="11">
        <f t="shared" si="4"/>
        <v>0.003063069176</v>
      </c>
      <c r="F47" s="48">
        <v>7.974</v>
      </c>
      <c r="G47" s="49">
        <f t="shared" si="1"/>
        <v>0.07974</v>
      </c>
      <c r="H47" s="50">
        <f t="shared" si="2"/>
        <v>0.0002102146164</v>
      </c>
      <c r="I47" s="51">
        <f t="shared" si="5"/>
        <v>-0.005998917948</v>
      </c>
      <c r="J47" s="53">
        <f t="shared" si="6"/>
        <v>0.006205520694</v>
      </c>
      <c r="K47" s="40">
        <f t="shared" si="7"/>
        <v>0.009061987124</v>
      </c>
    </row>
    <row r="48">
      <c r="A48" s="54">
        <v>43383.0</v>
      </c>
      <c r="B48" s="11">
        <v>100.7174</v>
      </c>
      <c r="C48" s="47">
        <f t="shared" si="3"/>
        <v>0.0002015946835</v>
      </c>
      <c r="D48" s="42">
        <v>10301.05</v>
      </c>
      <c r="E48" s="11">
        <f t="shared" si="4"/>
        <v>-0.004541918526</v>
      </c>
      <c r="F48" s="48">
        <v>8.076</v>
      </c>
      <c r="G48" s="49">
        <f t="shared" si="1"/>
        <v>0.08076</v>
      </c>
      <c r="H48" s="50">
        <f t="shared" si="2"/>
        <v>0.000212802084</v>
      </c>
      <c r="I48" s="51">
        <f t="shared" si="5"/>
        <v>0.01230869477</v>
      </c>
      <c r="J48" s="53">
        <f t="shared" si="6"/>
        <v>-0.01210710008</v>
      </c>
      <c r="K48" s="40">
        <f t="shared" si="7"/>
        <v>-0.01685061329</v>
      </c>
    </row>
    <row r="49">
      <c r="A49" s="54">
        <v>43384.0</v>
      </c>
      <c r="B49" s="11">
        <v>100.7356</v>
      </c>
      <c r="C49" s="47">
        <f t="shared" si="3"/>
        <v>0.0001807036321</v>
      </c>
      <c r="D49" s="42">
        <v>10460.1</v>
      </c>
      <c r="E49" s="11">
        <f t="shared" si="4"/>
        <v>0.01544017357</v>
      </c>
      <c r="F49" s="48">
        <v>8.031</v>
      </c>
      <c r="G49" s="49">
        <f t="shared" si="1"/>
        <v>0.08031</v>
      </c>
      <c r="H49" s="50">
        <f t="shared" si="2"/>
        <v>0.0002116608545</v>
      </c>
      <c r="I49" s="51">
        <f t="shared" si="5"/>
        <v>-0.005362867923</v>
      </c>
      <c r="J49" s="53">
        <f t="shared" si="6"/>
        <v>0.005543571555</v>
      </c>
      <c r="K49" s="40">
        <f t="shared" si="7"/>
        <v>0.0208030415</v>
      </c>
    </row>
    <row r="50">
      <c r="A50" s="54">
        <v>43385.0</v>
      </c>
      <c r="B50" s="11">
        <v>100.7558</v>
      </c>
      <c r="C50" s="47">
        <f t="shared" si="3"/>
        <v>0.0002005249386</v>
      </c>
      <c r="D50" s="42">
        <v>10234.65</v>
      </c>
      <c r="E50" s="11">
        <f t="shared" si="4"/>
        <v>-0.02155333123</v>
      </c>
      <c r="F50" s="48">
        <v>7.986</v>
      </c>
      <c r="G50" s="49">
        <f t="shared" si="1"/>
        <v>0.07986</v>
      </c>
      <c r="H50" s="50">
        <f t="shared" si="2"/>
        <v>0.0002105191509</v>
      </c>
      <c r="I50" s="51">
        <f t="shared" si="5"/>
        <v>-0.005394023588</v>
      </c>
      <c r="J50" s="53">
        <f t="shared" si="6"/>
        <v>0.005594548527</v>
      </c>
      <c r="K50" s="40">
        <f t="shared" si="7"/>
        <v>-0.01615930764</v>
      </c>
    </row>
    <row r="51">
      <c r="A51" s="54">
        <v>43388.0</v>
      </c>
      <c r="B51" s="11">
        <v>100.8154</v>
      </c>
      <c r="C51" s="47">
        <f t="shared" si="3"/>
        <v>0.0005915292221</v>
      </c>
      <c r="D51" s="42">
        <v>10472.5</v>
      </c>
      <c r="E51" s="11">
        <f t="shared" si="4"/>
        <v>0.02323968089</v>
      </c>
      <c r="F51" s="48">
        <v>7.984</v>
      </c>
      <c r="G51" s="49">
        <f t="shared" si="1"/>
        <v>0.07984</v>
      </c>
      <c r="H51" s="50">
        <f t="shared" si="2"/>
        <v>0.0002104683975</v>
      </c>
      <c r="I51" s="51">
        <f t="shared" si="5"/>
        <v>-0.0002410868357</v>
      </c>
      <c r="J51" s="53">
        <f t="shared" si="6"/>
        <v>0.0008326160578</v>
      </c>
      <c r="K51" s="40">
        <f t="shared" si="7"/>
        <v>0.02348076772</v>
      </c>
    </row>
    <row r="52">
      <c r="A52" s="54">
        <v>43389.0</v>
      </c>
      <c r="B52" s="11">
        <v>100.838</v>
      </c>
      <c r="C52" s="47">
        <f t="shared" si="3"/>
        <v>0.0002241721007</v>
      </c>
      <c r="D52" s="42">
        <v>10512.5</v>
      </c>
      <c r="E52" s="11">
        <f t="shared" si="4"/>
        <v>0.003819527333</v>
      </c>
      <c r="F52" s="48">
        <v>7.921</v>
      </c>
      <c r="G52" s="49">
        <f t="shared" si="1"/>
        <v>0.07921</v>
      </c>
      <c r="H52" s="50">
        <f t="shared" si="2"/>
        <v>0.0002088691855</v>
      </c>
      <c r="I52" s="51">
        <f t="shared" si="5"/>
        <v>-0.007598347423</v>
      </c>
      <c r="J52" s="53">
        <f t="shared" si="6"/>
        <v>0.007822519524</v>
      </c>
      <c r="K52" s="40">
        <f t="shared" si="7"/>
        <v>0.01141787476</v>
      </c>
    </row>
    <row r="53">
      <c r="A53" s="54">
        <v>43390.0</v>
      </c>
      <c r="B53" s="11">
        <v>100.8612</v>
      </c>
      <c r="C53" s="47">
        <f t="shared" si="3"/>
        <v>0.0002300719967</v>
      </c>
      <c r="D53" s="42">
        <v>10584.75</v>
      </c>
      <c r="E53" s="11">
        <f t="shared" si="4"/>
        <v>0.006872770511</v>
      </c>
      <c r="F53" s="48">
        <v>7.872</v>
      </c>
      <c r="G53" s="49">
        <f t="shared" si="1"/>
        <v>0.07872</v>
      </c>
      <c r="H53" s="50">
        <f t="shared" si="2"/>
        <v>0.0002076247101</v>
      </c>
      <c r="I53" s="51">
        <f t="shared" si="5"/>
        <v>-0.005958156741</v>
      </c>
      <c r="J53" s="53">
        <f t="shared" si="6"/>
        <v>0.006188228737</v>
      </c>
      <c r="K53" s="40">
        <f t="shared" si="7"/>
        <v>0.01283092725</v>
      </c>
    </row>
    <row r="54">
      <c r="A54" s="54">
        <v>43392.0</v>
      </c>
      <c r="B54" s="11">
        <v>100.9014</v>
      </c>
      <c r="C54" s="47">
        <f t="shared" si="3"/>
        <v>0.0003985675364</v>
      </c>
      <c r="D54" s="42">
        <v>10453.05</v>
      </c>
      <c r="E54" s="11">
        <f t="shared" si="4"/>
        <v>-0.01244242897</v>
      </c>
      <c r="F54" s="48">
        <v>7.909</v>
      </c>
      <c r="G54" s="49">
        <f t="shared" si="1"/>
        <v>0.07909</v>
      </c>
      <c r="H54" s="50">
        <f t="shared" si="2"/>
        <v>0.0002085644681</v>
      </c>
      <c r="I54" s="51">
        <f t="shared" si="5"/>
        <v>0.004526233805</v>
      </c>
      <c r="J54" s="53">
        <f t="shared" si="6"/>
        <v>-0.004127666269</v>
      </c>
      <c r="K54" s="40">
        <f t="shared" si="7"/>
        <v>-0.01696866277</v>
      </c>
    </row>
    <row r="55">
      <c r="A55" s="54">
        <v>43395.0</v>
      </c>
      <c r="B55" s="11">
        <v>100.9649</v>
      </c>
      <c r="C55" s="47">
        <f t="shared" si="3"/>
        <v>0.0006293272442</v>
      </c>
      <c r="D55" s="42">
        <v>10303.55</v>
      </c>
      <c r="E55" s="11">
        <f t="shared" si="4"/>
        <v>-0.01430204581</v>
      </c>
      <c r="F55" s="48">
        <v>7.921</v>
      </c>
      <c r="G55" s="49">
        <f t="shared" si="1"/>
        <v>0.07921</v>
      </c>
      <c r="H55" s="50">
        <f t="shared" si="2"/>
        <v>0.0002088691855</v>
      </c>
      <c r="I55" s="51">
        <f t="shared" si="5"/>
        <v>0.001461022418</v>
      </c>
      <c r="J55" s="53">
        <f t="shared" si="6"/>
        <v>-0.0008316951742</v>
      </c>
      <c r="K55" s="40">
        <f t="shared" si="7"/>
        <v>-0.01576306823</v>
      </c>
    </row>
    <row r="56">
      <c r="A56" s="54">
        <v>43396.0</v>
      </c>
      <c r="B56" s="11">
        <v>100.9842</v>
      </c>
      <c r="C56" s="47">
        <f t="shared" si="3"/>
        <v>0.0001911555402</v>
      </c>
      <c r="D56" s="42">
        <v>10245.25</v>
      </c>
      <c r="E56" s="11">
        <f t="shared" si="4"/>
        <v>-0.005658244003</v>
      </c>
      <c r="F56" s="48">
        <v>7.93</v>
      </c>
      <c r="G56" s="49">
        <f t="shared" si="1"/>
        <v>0.0793</v>
      </c>
      <c r="H56" s="50">
        <f t="shared" si="2"/>
        <v>0.0002090977013</v>
      </c>
      <c r="I56" s="51">
        <f t="shared" si="5"/>
        <v>0.00109406205</v>
      </c>
      <c r="J56" s="53">
        <f t="shared" si="6"/>
        <v>-0.0009029065094</v>
      </c>
      <c r="K56" s="40">
        <f t="shared" si="7"/>
        <v>-0.006752306053</v>
      </c>
    </row>
    <row r="57">
      <c r="A57" s="54">
        <v>43397.0</v>
      </c>
      <c r="B57" s="11">
        <v>101.0059</v>
      </c>
      <c r="C57" s="47">
        <f t="shared" si="3"/>
        <v>0.0002148851008</v>
      </c>
      <c r="D57" s="42">
        <v>10146.8</v>
      </c>
      <c r="E57" s="11">
        <f t="shared" si="4"/>
        <v>-0.009609331153</v>
      </c>
      <c r="F57" s="48">
        <v>7.894</v>
      </c>
      <c r="G57" s="49">
        <f t="shared" si="1"/>
        <v>0.07894</v>
      </c>
      <c r="H57" s="50">
        <f t="shared" si="2"/>
        <v>0.0002081835239</v>
      </c>
      <c r="I57" s="51">
        <f t="shared" si="5"/>
        <v>-0.004372010963</v>
      </c>
      <c r="J57" s="53">
        <f t="shared" si="6"/>
        <v>0.004586896064</v>
      </c>
      <c r="K57" s="40">
        <f t="shared" si="7"/>
        <v>-0.005237320191</v>
      </c>
    </row>
    <row r="58">
      <c r="A58" s="54">
        <v>43398.0</v>
      </c>
      <c r="B58" s="11">
        <v>101.0294</v>
      </c>
      <c r="C58" s="47">
        <f t="shared" si="3"/>
        <v>0.0002326596763</v>
      </c>
      <c r="D58" s="42">
        <v>10224.75</v>
      </c>
      <c r="E58" s="11">
        <f t="shared" si="4"/>
        <v>0.007682224938</v>
      </c>
      <c r="F58" s="48">
        <v>7.872</v>
      </c>
      <c r="G58" s="49">
        <f t="shared" si="1"/>
        <v>0.07872</v>
      </c>
      <c r="H58" s="50">
        <f t="shared" si="2"/>
        <v>0.0002076247101</v>
      </c>
      <c r="I58" s="51">
        <f t="shared" si="5"/>
        <v>-0.002684236205</v>
      </c>
      <c r="J58" s="53">
        <f t="shared" si="6"/>
        <v>0.002916895881</v>
      </c>
      <c r="K58" s="40">
        <f t="shared" si="7"/>
        <v>0.01036646114</v>
      </c>
    </row>
    <row r="59">
      <c r="A59" s="54">
        <v>43399.0</v>
      </c>
      <c r="B59" s="11">
        <v>101.0479</v>
      </c>
      <c r="C59" s="47">
        <f t="shared" si="3"/>
        <v>0.000183115014</v>
      </c>
      <c r="D59" s="42">
        <v>10124.9</v>
      </c>
      <c r="E59" s="11">
        <f t="shared" si="4"/>
        <v>-0.009765519939</v>
      </c>
      <c r="F59" s="48">
        <v>7.867</v>
      </c>
      <c r="G59" s="49">
        <f t="shared" si="1"/>
        <v>0.07867</v>
      </c>
      <c r="H59" s="50">
        <f t="shared" si="2"/>
        <v>0.0002074976911</v>
      </c>
      <c r="I59" s="51">
        <f t="shared" si="5"/>
        <v>-0.0006117719618</v>
      </c>
      <c r="J59" s="53">
        <f t="shared" si="6"/>
        <v>0.0007948869759</v>
      </c>
      <c r="K59" s="40">
        <f t="shared" si="7"/>
        <v>-0.009153747978</v>
      </c>
    </row>
    <row r="60">
      <c r="A60" s="54">
        <v>43402.0</v>
      </c>
      <c r="B60" s="11">
        <v>101.111</v>
      </c>
      <c r="C60" s="47">
        <f t="shared" si="3"/>
        <v>0.0006244563222</v>
      </c>
      <c r="D60" s="42">
        <v>10030.0</v>
      </c>
      <c r="E60" s="11">
        <f t="shared" si="4"/>
        <v>-0.009372932078</v>
      </c>
      <c r="F60" s="48">
        <v>7.877</v>
      </c>
      <c r="G60" s="49">
        <f t="shared" si="1"/>
        <v>0.07877</v>
      </c>
      <c r="H60" s="50">
        <f t="shared" si="2"/>
        <v>0.0002077517232</v>
      </c>
      <c r="I60" s="51">
        <f t="shared" si="5"/>
        <v>0.001224264615</v>
      </c>
      <c r="J60" s="53">
        <f t="shared" si="6"/>
        <v>-0.0005998082927</v>
      </c>
      <c r="K60" s="40">
        <f t="shared" si="7"/>
        <v>-0.01059719669</v>
      </c>
    </row>
    <row r="61">
      <c r="A61" s="54">
        <v>43403.0</v>
      </c>
      <c r="B61" s="11">
        <v>100.3971</v>
      </c>
      <c r="C61" s="47">
        <f t="shared" si="3"/>
        <v>-0.007060557209</v>
      </c>
      <c r="D61" s="42">
        <v>10250.85</v>
      </c>
      <c r="E61" s="11">
        <f t="shared" si="4"/>
        <v>0.02201894317</v>
      </c>
      <c r="F61" s="48">
        <v>7.81</v>
      </c>
      <c r="G61" s="49">
        <f t="shared" si="1"/>
        <v>0.0781</v>
      </c>
      <c r="H61" s="50">
        <f t="shared" si="2"/>
        <v>0.0002060492597</v>
      </c>
      <c r="I61" s="51">
        <f t="shared" si="5"/>
        <v>-0.008194702464</v>
      </c>
      <c r="J61" s="53">
        <f t="shared" si="6"/>
        <v>0.001134145255</v>
      </c>
      <c r="K61" s="40">
        <f t="shared" si="7"/>
        <v>0.03021364563</v>
      </c>
    </row>
    <row r="62">
      <c r="A62" s="54">
        <v>43404.0</v>
      </c>
      <c r="B62" s="11">
        <v>100.4204</v>
      </c>
      <c r="C62" s="47">
        <f t="shared" si="3"/>
        <v>0.0002320784166</v>
      </c>
      <c r="D62" s="42">
        <v>10198.4</v>
      </c>
      <c r="E62" s="11">
        <f t="shared" si="4"/>
        <v>-0.005116648863</v>
      </c>
      <c r="F62" s="48">
        <v>7.834</v>
      </c>
      <c r="G62" s="49">
        <f t="shared" si="1"/>
        <v>0.07834</v>
      </c>
      <c r="H62" s="50">
        <f t="shared" si="2"/>
        <v>0.0002066592186</v>
      </c>
      <c r="I62" s="51">
        <f t="shared" si="5"/>
        <v>0.002960257885</v>
      </c>
      <c r="J62" s="53">
        <f t="shared" si="6"/>
        <v>-0.002728179468</v>
      </c>
      <c r="K62" s="40">
        <f t="shared" si="7"/>
        <v>-0.008076906748</v>
      </c>
    </row>
    <row r="63">
      <c r="A63" s="46">
        <v>43405.0</v>
      </c>
      <c r="B63" s="11">
        <v>100.4456</v>
      </c>
      <c r="C63" s="47">
        <f t="shared" si="3"/>
        <v>0.0002509450271</v>
      </c>
      <c r="D63" s="42">
        <v>10386.6</v>
      </c>
      <c r="E63" s="11">
        <f t="shared" si="4"/>
        <v>0.01845387512</v>
      </c>
      <c r="F63" s="48">
        <v>7.853</v>
      </c>
      <c r="G63" s="49">
        <f t="shared" si="1"/>
        <v>0.07853</v>
      </c>
      <c r="H63" s="50">
        <f t="shared" si="2"/>
        <v>0.0002071420068</v>
      </c>
      <c r="I63" s="51">
        <f t="shared" si="5"/>
        <v>0.00233615593</v>
      </c>
      <c r="J63" s="53">
        <f t="shared" si="6"/>
        <v>-0.002085210903</v>
      </c>
      <c r="K63" s="40">
        <f t="shared" si="7"/>
        <v>0.01611771919</v>
      </c>
    </row>
    <row r="64">
      <c r="A64" s="46">
        <v>43406.0</v>
      </c>
      <c r="B64" s="11">
        <v>100.4696</v>
      </c>
      <c r="C64" s="47">
        <f t="shared" si="3"/>
        <v>0.0002389353043</v>
      </c>
      <c r="D64" s="42">
        <v>10380.45</v>
      </c>
      <c r="E64" s="11">
        <f t="shared" si="4"/>
        <v>-0.0005921090636</v>
      </c>
      <c r="F64" s="48">
        <v>7.823</v>
      </c>
      <c r="G64" s="49">
        <f t="shared" si="1"/>
        <v>0.07823</v>
      </c>
      <c r="H64" s="50">
        <f t="shared" si="2"/>
        <v>0.0002063796709</v>
      </c>
      <c r="I64" s="51">
        <f t="shared" si="5"/>
        <v>-0.003680257232</v>
      </c>
      <c r="J64" s="53">
        <f t="shared" si="6"/>
        <v>0.003919192536</v>
      </c>
      <c r="K64" s="40">
        <f t="shared" si="7"/>
        <v>0.003088148168</v>
      </c>
    </row>
    <row r="65">
      <c r="A65" s="46">
        <v>43409.0</v>
      </c>
      <c r="B65" s="11">
        <v>100.5346</v>
      </c>
      <c r="C65" s="47">
        <f t="shared" si="3"/>
        <v>0.0006469618671</v>
      </c>
      <c r="D65" s="42">
        <v>10553.0</v>
      </c>
      <c r="E65" s="11">
        <f t="shared" si="4"/>
        <v>0.01662259343</v>
      </c>
      <c r="F65" s="48">
        <v>7.781</v>
      </c>
      <c r="G65" s="49">
        <f t="shared" si="1"/>
        <v>0.07781</v>
      </c>
      <c r="H65" s="50">
        <f t="shared" si="2"/>
        <v>0.0002053120452</v>
      </c>
      <c r="I65" s="51">
        <f t="shared" si="5"/>
        <v>-0.005173114442</v>
      </c>
      <c r="J65" s="53">
        <f t="shared" si="6"/>
        <v>0.00582007631</v>
      </c>
      <c r="K65" s="40">
        <f t="shared" si="7"/>
        <v>0.02179570788</v>
      </c>
    </row>
    <row r="66">
      <c r="A66" s="46">
        <v>43410.0</v>
      </c>
      <c r="B66" s="11">
        <v>100.5564</v>
      </c>
      <c r="C66" s="47">
        <f t="shared" si="3"/>
        <v>0.0002168407692</v>
      </c>
      <c r="D66" s="42">
        <v>10524.0</v>
      </c>
      <c r="E66" s="11">
        <f t="shared" si="4"/>
        <v>-0.002748033734</v>
      </c>
      <c r="F66" s="48">
        <v>7.808</v>
      </c>
      <c r="G66" s="49">
        <f t="shared" si="1"/>
        <v>0.07808</v>
      </c>
      <c r="H66" s="50">
        <f t="shared" si="2"/>
        <v>0.0002059984236</v>
      </c>
      <c r="I66" s="51">
        <f t="shared" si="5"/>
        <v>0.003343098525</v>
      </c>
      <c r="J66" s="53">
        <f t="shared" si="6"/>
        <v>-0.003126257756</v>
      </c>
      <c r="K66" s="40">
        <f t="shared" si="7"/>
        <v>-0.00609113226</v>
      </c>
    </row>
    <row r="67">
      <c r="A67" s="46">
        <v>43413.0</v>
      </c>
      <c r="B67" s="11">
        <v>100.6207</v>
      </c>
      <c r="C67" s="47">
        <f t="shared" si="3"/>
        <v>0.0006394421439</v>
      </c>
      <c r="D67" s="42">
        <v>10530.0</v>
      </c>
      <c r="E67" s="11">
        <f t="shared" si="4"/>
        <v>0.0005701254276</v>
      </c>
      <c r="F67" s="48">
        <v>7.796</v>
      </c>
      <c r="G67" s="49">
        <f t="shared" si="1"/>
        <v>0.07796</v>
      </c>
      <c r="H67" s="50">
        <f t="shared" si="2"/>
        <v>0.0002056933877</v>
      </c>
      <c r="I67" s="51">
        <f t="shared" si="5"/>
        <v>-0.001480768119</v>
      </c>
      <c r="J67" s="53">
        <f t="shared" si="6"/>
        <v>0.002120210263</v>
      </c>
      <c r="K67" s="40">
        <f t="shared" si="7"/>
        <v>0.002050893547</v>
      </c>
    </row>
    <row r="68">
      <c r="A68" s="54">
        <v>43416.0</v>
      </c>
      <c r="B68" s="11">
        <v>100.6873</v>
      </c>
      <c r="C68" s="47">
        <f t="shared" si="3"/>
        <v>0.0006618916386</v>
      </c>
      <c r="D68" s="42">
        <v>10585.2</v>
      </c>
      <c r="E68" s="11">
        <f t="shared" si="4"/>
        <v>0.005242165242</v>
      </c>
      <c r="F68" s="48">
        <v>7.765</v>
      </c>
      <c r="G68" s="49">
        <f t="shared" si="1"/>
        <v>0.07765</v>
      </c>
      <c r="H68" s="50">
        <f t="shared" si="2"/>
        <v>0.0002049052216</v>
      </c>
      <c r="I68" s="51">
        <f t="shared" si="5"/>
        <v>-0.00383175258</v>
      </c>
      <c r="J68" s="53">
        <f t="shared" si="6"/>
        <v>0.004493644219</v>
      </c>
      <c r="K68" s="40">
        <f t="shared" si="7"/>
        <v>0.009073917823</v>
      </c>
    </row>
    <row r="69">
      <c r="A69" s="54">
        <v>43417.0</v>
      </c>
      <c r="B69" s="11">
        <v>100.716</v>
      </c>
      <c r="C69" s="47">
        <f t="shared" si="3"/>
        <v>0.0002850409138</v>
      </c>
      <c r="D69" s="42">
        <v>10482.2</v>
      </c>
      <c r="E69" s="11">
        <f t="shared" si="4"/>
        <v>-0.009730567207</v>
      </c>
      <c r="F69" s="48">
        <v>7.804</v>
      </c>
      <c r="G69" s="49">
        <f t="shared" si="1"/>
        <v>0.07804</v>
      </c>
      <c r="H69" s="50">
        <f t="shared" si="2"/>
        <v>0.0002058967488</v>
      </c>
      <c r="I69" s="51">
        <f t="shared" si="5"/>
        <v>0.004838955248</v>
      </c>
      <c r="J69" s="53">
        <f t="shared" si="6"/>
        <v>-0.004553914334</v>
      </c>
      <c r="K69" s="40">
        <f t="shared" si="7"/>
        <v>-0.01456952246</v>
      </c>
    </row>
    <row r="70">
      <c r="A70" s="54">
        <v>43418.0</v>
      </c>
      <c r="B70" s="11">
        <v>100.7433</v>
      </c>
      <c r="C70" s="47">
        <f t="shared" si="3"/>
        <v>0.000271059216</v>
      </c>
      <c r="D70" s="42">
        <v>10582.5</v>
      </c>
      <c r="E70" s="11">
        <f t="shared" si="4"/>
        <v>0.009568602011</v>
      </c>
      <c r="F70" s="48">
        <v>7.762</v>
      </c>
      <c r="G70" s="49">
        <f t="shared" si="1"/>
        <v>0.07762</v>
      </c>
      <c r="H70" s="50">
        <f t="shared" si="2"/>
        <v>0.0002048289354</v>
      </c>
      <c r="I70" s="51">
        <f t="shared" si="5"/>
        <v>-0.005186159316</v>
      </c>
      <c r="J70" s="53">
        <f t="shared" si="6"/>
        <v>0.005457218532</v>
      </c>
      <c r="K70" s="40">
        <f t="shared" si="7"/>
        <v>0.01475476133</v>
      </c>
    </row>
    <row r="71">
      <c r="A71" s="54">
        <v>43419.0</v>
      </c>
      <c r="B71" s="11">
        <v>100.7746</v>
      </c>
      <c r="C71" s="47">
        <f t="shared" si="3"/>
        <v>0.0003106906365</v>
      </c>
      <c r="D71" s="42">
        <v>10576.3</v>
      </c>
      <c r="E71" s="11">
        <f t="shared" si="4"/>
        <v>-0.0005858729034</v>
      </c>
      <c r="F71" s="48">
        <v>7.733</v>
      </c>
      <c r="G71" s="49">
        <f t="shared" si="1"/>
        <v>0.07733</v>
      </c>
      <c r="H71" s="50">
        <f t="shared" si="2"/>
        <v>0.0002040913935</v>
      </c>
      <c r="I71" s="51">
        <f t="shared" si="5"/>
        <v>-0.003600770259</v>
      </c>
      <c r="J71" s="53">
        <f t="shared" si="6"/>
        <v>0.003911460896</v>
      </c>
      <c r="K71" s="40">
        <f t="shared" si="7"/>
        <v>0.003014897356</v>
      </c>
    </row>
    <row r="72">
      <c r="A72" s="54">
        <v>43420.0</v>
      </c>
      <c r="B72" s="11">
        <v>100.7993</v>
      </c>
      <c r="C72" s="47">
        <f t="shared" si="3"/>
        <v>0.0002451014442</v>
      </c>
      <c r="D72" s="42">
        <v>10616.7</v>
      </c>
      <c r="E72" s="11">
        <f t="shared" si="4"/>
        <v>0.003819861388</v>
      </c>
      <c r="F72" s="48">
        <v>7.756</v>
      </c>
      <c r="G72" s="49">
        <f t="shared" si="1"/>
        <v>0.07756</v>
      </c>
      <c r="H72" s="50">
        <f t="shared" si="2"/>
        <v>0.0002046763568</v>
      </c>
      <c r="I72" s="51">
        <f t="shared" si="5"/>
        <v>0.002866183068</v>
      </c>
      <c r="J72" s="53">
        <f t="shared" si="6"/>
        <v>-0.002621081623</v>
      </c>
      <c r="K72" s="40">
        <f t="shared" si="7"/>
        <v>0.0009536783205</v>
      </c>
    </row>
    <row r="73">
      <c r="A73" s="54">
        <v>43423.0</v>
      </c>
      <c r="B73" s="11">
        <v>100.8613</v>
      </c>
      <c r="C73" s="47">
        <f t="shared" si="3"/>
        <v>0.0006150836365</v>
      </c>
      <c r="D73" s="42">
        <v>10682.2</v>
      </c>
      <c r="E73" s="11">
        <f t="shared" si="4"/>
        <v>0.00616952537</v>
      </c>
      <c r="F73" s="48">
        <v>7.815</v>
      </c>
      <c r="G73" s="49">
        <f t="shared" si="1"/>
        <v>0.07815</v>
      </c>
      <c r="H73" s="50">
        <f t="shared" si="2"/>
        <v>0.0002061763456</v>
      </c>
      <c r="I73" s="51">
        <f t="shared" si="5"/>
        <v>0.007328588651</v>
      </c>
      <c r="J73" s="53">
        <f t="shared" si="6"/>
        <v>-0.006713505014</v>
      </c>
      <c r="K73" s="40">
        <f t="shared" si="7"/>
        <v>-0.001159063281</v>
      </c>
    </row>
    <row r="74">
      <c r="A74" s="54">
        <v>43424.0</v>
      </c>
      <c r="B74" s="11">
        <v>100.8819</v>
      </c>
      <c r="C74" s="47">
        <f t="shared" si="3"/>
        <v>0.0002042408734</v>
      </c>
      <c r="D74" s="42">
        <v>10763.4</v>
      </c>
      <c r="E74" s="11">
        <f t="shared" si="4"/>
        <v>0.007601430417</v>
      </c>
      <c r="F74" s="48">
        <v>7.791</v>
      </c>
      <c r="G74" s="49">
        <f t="shared" si="1"/>
        <v>0.07791</v>
      </c>
      <c r="H74" s="50">
        <f t="shared" si="2"/>
        <v>0.0002055662794</v>
      </c>
      <c r="I74" s="51">
        <f t="shared" si="5"/>
        <v>-0.002958953186</v>
      </c>
      <c r="J74" s="53">
        <f t="shared" si="6"/>
        <v>0.003163194059</v>
      </c>
      <c r="K74" s="40">
        <f t="shared" si="7"/>
        <v>0.0105603836</v>
      </c>
    </row>
    <row r="75">
      <c r="A75" s="54">
        <v>43426.0</v>
      </c>
      <c r="B75" s="11">
        <v>100.9239</v>
      </c>
      <c r="C75" s="47">
        <f t="shared" si="3"/>
        <v>0.0004163283998</v>
      </c>
      <c r="D75" s="42">
        <v>10656.2</v>
      </c>
      <c r="E75" s="11">
        <f t="shared" si="4"/>
        <v>-0.009959678169</v>
      </c>
      <c r="F75" s="48">
        <v>7.792</v>
      </c>
      <c r="G75" s="49">
        <f t="shared" si="1"/>
        <v>0.07792</v>
      </c>
      <c r="H75" s="50">
        <f t="shared" si="2"/>
        <v>0.0002055917016</v>
      </c>
      <c r="I75" s="51">
        <f t="shared" si="5"/>
        <v>0.0001236687631</v>
      </c>
      <c r="J75" s="53">
        <f t="shared" si="6"/>
        <v>0.0002926596367</v>
      </c>
      <c r="K75" s="40">
        <f t="shared" si="7"/>
        <v>-0.01008334693</v>
      </c>
    </row>
    <row r="76">
      <c r="A76" s="54">
        <v>43430.0</v>
      </c>
      <c r="B76" s="11">
        <v>101.0103</v>
      </c>
      <c r="C76" s="47">
        <f t="shared" si="3"/>
        <v>0.0008560905791</v>
      </c>
      <c r="D76" s="42">
        <v>10526.75</v>
      </c>
      <c r="E76" s="11">
        <f t="shared" si="4"/>
        <v>-0.01214785759</v>
      </c>
      <c r="F76" s="48">
        <v>7.71</v>
      </c>
      <c r="G76" s="49">
        <f t="shared" si="1"/>
        <v>0.0771</v>
      </c>
      <c r="H76" s="50">
        <f t="shared" si="2"/>
        <v>0.0002035063056</v>
      </c>
      <c r="I76" s="51">
        <f t="shared" si="5"/>
        <v>-0.0101433858</v>
      </c>
      <c r="J76" s="53">
        <f t="shared" si="6"/>
        <v>0.01099947638</v>
      </c>
      <c r="K76" s="40">
        <f t="shared" si="7"/>
        <v>-0.002004471788</v>
      </c>
    </row>
    <row r="77">
      <c r="A77" s="54">
        <v>43431.0</v>
      </c>
      <c r="B77" s="11">
        <v>101.0381</v>
      </c>
      <c r="C77" s="47">
        <f t="shared" si="3"/>
        <v>0.0002752194578</v>
      </c>
      <c r="D77" s="42">
        <v>10628.6</v>
      </c>
      <c r="E77" s="11">
        <f t="shared" si="4"/>
        <v>0.009675350892</v>
      </c>
      <c r="F77" s="48">
        <v>7.726</v>
      </c>
      <c r="G77" s="49">
        <f t="shared" si="1"/>
        <v>0.07726</v>
      </c>
      <c r="H77" s="50">
        <f t="shared" si="2"/>
        <v>0.0002039133364</v>
      </c>
      <c r="I77" s="51">
        <f t="shared" si="5"/>
        <v>0.002000089492</v>
      </c>
      <c r="J77" s="53">
        <f t="shared" si="6"/>
        <v>-0.001724870034</v>
      </c>
      <c r="K77" s="40">
        <f t="shared" si="7"/>
        <v>0.0076752614</v>
      </c>
    </row>
    <row r="78">
      <c r="A78" s="54">
        <v>43432.0</v>
      </c>
      <c r="B78" s="11">
        <v>101.0598</v>
      </c>
      <c r="C78" s="47">
        <f t="shared" si="3"/>
        <v>0.0002147704678</v>
      </c>
      <c r="D78" s="42">
        <v>10685.6</v>
      </c>
      <c r="E78" s="11">
        <f t="shared" si="4"/>
        <v>0.005362888809</v>
      </c>
      <c r="F78" s="48">
        <v>7.734</v>
      </c>
      <c r="G78" s="49">
        <f t="shared" si="1"/>
        <v>0.07734</v>
      </c>
      <c r="H78" s="50">
        <f t="shared" si="2"/>
        <v>0.0002041168293</v>
      </c>
      <c r="I78" s="51">
        <f t="shared" si="5"/>
        <v>0.0009979376911</v>
      </c>
      <c r="J78" s="53">
        <f t="shared" si="6"/>
        <v>-0.0007831672233</v>
      </c>
      <c r="K78" s="40">
        <f t="shared" si="7"/>
        <v>0.004364951118</v>
      </c>
    </row>
    <row r="79">
      <c r="A79" s="54">
        <v>43433.0</v>
      </c>
      <c r="B79" s="11">
        <v>101.081</v>
      </c>
      <c r="C79" s="47">
        <f t="shared" si="3"/>
        <v>0.0002097767856</v>
      </c>
      <c r="D79" s="42">
        <v>10728.85</v>
      </c>
      <c r="E79" s="11">
        <f t="shared" si="4"/>
        <v>0.004047503182</v>
      </c>
      <c r="F79" s="48">
        <v>7.644</v>
      </c>
      <c r="G79" s="49">
        <f t="shared" si="1"/>
        <v>0.07644</v>
      </c>
      <c r="H79" s="50">
        <f t="shared" si="2"/>
        <v>0.0002018266659</v>
      </c>
      <c r="I79" s="51">
        <f t="shared" si="5"/>
        <v>-0.01121986557</v>
      </c>
      <c r="J79" s="53">
        <f t="shared" si="6"/>
        <v>0.01142964235</v>
      </c>
      <c r="K79" s="40">
        <f t="shared" si="7"/>
        <v>0.01526736875</v>
      </c>
    </row>
    <row r="80">
      <c r="A80" s="54">
        <v>43434.0</v>
      </c>
      <c r="B80" s="11">
        <v>100.3987</v>
      </c>
      <c r="C80" s="47">
        <f t="shared" si="3"/>
        <v>-0.006750032152</v>
      </c>
      <c r="D80" s="42">
        <v>10858.7</v>
      </c>
      <c r="E80" s="11">
        <f t="shared" si="4"/>
        <v>0.01210288148</v>
      </c>
      <c r="F80" s="48">
        <v>7.608</v>
      </c>
      <c r="G80" s="49">
        <f t="shared" si="1"/>
        <v>0.07608</v>
      </c>
      <c r="H80" s="50">
        <f t="shared" si="2"/>
        <v>0.0002009100658</v>
      </c>
      <c r="I80" s="51">
        <f t="shared" si="5"/>
        <v>-0.004541521131</v>
      </c>
      <c r="J80" s="53">
        <f t="shared" si="6"/>
        <v>-0.002208511021</v>
      </c>
      <c r="K80" s="40">
        <f t="shared" si="7"/>
        <v>0.01664440261</v>
      </c>
    </row>
    <row r="81">
      <c r="A81" s="46">
        <v>43437.0</v>
      </c>
      <c r="B81" s="11">
        <v>100.4657</v>
      </c>
      <c r="C81" s="47">
        <f t="shared" si="3"/>
        <v>0.0006673393181</v>
      </c>
      <c r="D81" s="42">
        <v>10876.75</v>
      </c>
      <c r="E81" s="11">
        <f t="shared" si="4"/>
        <v>0.001662261597</v>
      </c>
      <c r="F81" s="48">
        <v>7.607</v>
      </c>
      <c r="G81" s="49">
        <f t="shared" si="1"/>
        <v>0.07607</v>
      </c>
      <c r="H81" s="50">
        <f t="shared" si="2"/>
        <v>0.0002008846003</v>
      </c>
      <c r="I81" s="51">
        <f t="shared" si="5"/>
        <v>-0.0001267506327</v>
      </c>
      <c r="J81" s="53">
        <f t="shared" si="6"/>
        <v>0.0007940899508</v>
      </c>
      <c r="K81" s="40">
        <f t="shared" si="7"/>
        <v>0.001789012229</v>
      </c>
    </row>
    <row r="82">
      <c r="A82" s="46">
        <v>43438.0</v>
      </c>
      <c r="B82" s="11">
        <v>100.4865</v>
      </c>
      <c r="C82" s="47">
        <f t="shared" si="3"/>
        <v>0.0002070358341</v>
      </c>
      <c r="D82" s="42">
        <v>10883.75</v>
      </c>
      <c r="E82" s="11">
        <f t="shared" si="4"/>
        <v>0.0006435745972</v>
      </c>
      <c r="F82" s="48">
        <v>7.626</v>
      </c>
      <c r="G82" s="49">
        <f t="shared" si="1"/>
        <v>0.07626</v>
      </c>
      <c r="H82" s="50">
        <f t="shared" si="2"/>
        <v>0.0002013684041</v>
      </c>
      <c r="I82" s="51">
        <f t="shared" si="5"/>
        <v>0.002408366448</v>
      </c>
      <c r="J82" s="53">
        <f t="shared" si="6"/>
        <v>-0.002201330614</v>
      </c>
      <c r="K82" s="40">
        <f t="shared" si="7"/>
        <v>-0.001764791851</v>
      </c>
    </row>
    <row r="83">
      <c r="A83" s="46">
        <v>43439.0</v>
      </c>
      <c r="B83" s="11">
        <v>100.5251</v>
      </c>
      <c r="C83" s="47">
        <f t="shared" si="3"/>
        <v>0.0003841312017</v>
      </c>
      <c r="D83" s="42">
        <v>10869.5</v>
      </c>
      <c r="E83" s="11">
        <f t="shared" si="4"/>
        <v>-0.001309291375</v>
      </c>
      <c r="F83" s="48">
        <v>7.574</v>
      </c>
      <c r="G83" s="49">
        <f t="shared" si="1"/>
        <v>0.07574</v>
      </c>
      <c r="H83" s="50">
        <f t="shared" si="2"/>
        <v>0.0002000441071</v>
      </c>
      <c r="I83" s="51">
        <f t="shared" si="5"/>
        <v>-0.006576488198</v>
      </c>
      <c r="J83" s="53">
        <f t="shared" si="6"/>
        <v>0.0069606194</v>
      </c>
      <c r="K83" s="40">
        <f t="shared" si="7"/>
        <v>0.005267196824</v>
      </c>
    </row>
    <row r="84">
      <c r="A84" s="46">
        <v>43440.0</v>
      </c>
      <c r="B84" s="11">
        <v>100.5583</v>
      </c>
      <c r="C84" s="47">
        <f t="shared" si="3"/>
        <v>0.0003302657744</v>
      </c>
      <c r="D84" s="42">
        <v>10782.9</v>
      </c>
      <c r="E84" s="11">
        <f t="shared" si="4"/>
        <v>-0.007967247803</v>
      </c>
      <c r="F84" s="48">
        <v>7.44</v>
      </c>
      <c r="G84" s="49">
        <f t="shared" si="1"/>
        <v>0.0744</v>
      </c>
      <c r="H84" s="50">
        <f t="shared" si="2"/>
        <v>0.0001966285514</v>
      </c>
      <c r="I84" s="51">
        <f t="shared" si="5"/>
        <v>-0.01707401319</v>
      </c>
      <c r="J84" s="53">
        <f t="shared" si="6"/>
        <v>0.01740427896</v>
      </c>
      <c r="K84" s="40">
        <f t="shared" si="7"/>
        <v>0.009106765383</v>
      </c>
    </row>
    <row r="85">
      <c r="A85" s="46">
        <v>43441.0</v>
      </c>
      <c r="B85" s="11">
        <v>100.5799</v>
      </c>
      <c r="C85" s="47">
        <f t="shared" si="3"/>
        <v>0.0002148007673</v>
      </c>
      <c r="D85" s="42">
        <v>10601.15</v>
      </c>
      <c r="E85" s="11">
        <f t="shared" si="4"/>
        <v>-0.01685539141</v>
      </c>
      <c r="F85" s="48">
        <v>7.423</v>
      </c>
      <c r="G85" s="49">
        <f t="shared" si="1"/>
        <v>0.07423</v>
      </c>
      <c r="H85" s="50">
        <f t="shared" si="2"/>
        <v>0.000196194931</v>
      </c>
      <c r="I85" s="51">
        <f t="shared" si="5"/>
        <v>-0.002205276912</v>
      </c>
      <c r="J85" s="53">
        <f t="shared" si="6"/>
        <v>0.00242007768</v>
      </c>
      <c r="K85" s="40">
        <f t="shared" si="7"/>
        <v>-0.01465011449</v>
      </c>
    </row>
    <row r="86">
      <c r="A86" s="54">
        <v>43444.0</v>
      </c>
      <c r="B86" s="11">
        <v>100.6326</v>
      </c>
      <c r="C86" s="47">
        <f t="shared" si="3"/>
        <v>0.000523961547</v>
      </c>
      <c r="D86" s="42">
        <v>10693.7</v>
      </c>
      <c r="E86" s="11">
        <f t="shared" si="4"/>
        <v>0.008730184933</v>
      </c>
      <c r="F86" s="48">
        <v>7.464</v>
      </c>
      <c r="G86" s="49">
        <f t="shared" si="1"/>
        <v>0.07464</v>
      </c>
      <c r="H86" s="50">
        <f t="shared" si="2"/>
        <v>0.0001972406049</v>
      </c>
      <c r="I86" s="51">
        <f t="shared" si="5"/>
        <v>0.005329770307</v>
      </c>
      <c r="J86" s="53">
        <f t="shared" si="6"/>
        <v>-0.00480580876</v>
      </c>
      <c r="K86" s="40">
        <f t="shared" si="7"/>
        <v>0.003400414625</v>
      </c>
    </row>
    <row r="87">
      <c r="A87" s="54">
        <v>43445.0</v>
      </c>
      <c r="B87" s="11">
        <v>100.6476</v>
      </c>
      <c r="C87" s="47">
        <f t="shared" si="3"/>
        <v>0.000149057065</v>
      </c>
      <c r="D87" s="42">
        <v>10488.45</v>
      </c>
      <c r="E87" s="11">
        <f t="shared" si="4"/>
        <v>-0.01919354386</v>
      </c>
      <c r="F87" s="48">
        <v>7.587</v>
      </c>
      <c r="G87" s="49">
        <f t="shared" si="1"/>
        <v>0.07587</v>
      </c>
      <c r="H87" s="50">
        <f t="shared" si="2"/>
        <v>0.0002003752412</v>
      </c>
      <c r="I87" s="51">
        <f t="shared" si="5"/>
        <v>0.01589244915</v>
      </c>
      <c r="J87" s="53">
        <f t="shared" si="6"/>
        <v>-0.01574339208</v>
      </c>
      <c r="K87" s="40">
        <f t="shared" si="7"/>
        <v>-0.03508599301</v>
      </c>
    </row>
    <row r="88">
      <c r="A88" s="54">
        <v>43446.0</v>
      </c>
      <c r="B88" s="11">
        <v>100.6732</v>
      </c>
      <c r="C88" s="47">
        <f t="shared" si="3"/>
        <v>0.0002543528112</v>
      </c>
      <c r="D88" s="42">
        <v>10549.15</v>
      </c>
      <c r="E88" s="11">
        <f t="shared" si="4"/>
        <v>0.005787318431</v>
      </c>
      <c r="F88" s="48">
        <v>7.528</v>
      </c>
      <c r="G88" s="49">
        <f t="shared" si="1"/>
        <v>0.07528</v>
      </c>
      <c r="H88" s="50">
        <f t="shared" si="2"/>
        <v>0.0001988720814</v>
      </c>
      <c r="I88" s="51">
        <f t="shared" si="5"/>
        <v>-0.0075017241</v>
      </c>
      <c r="J88" s="53">
        <f t="shared" si="6"/>
        <v>0.007756076912</v>
      </c>
      <c r="K88" s="40">
        <f t="shared" si="7"/>
        <v>0.01328904253</v>
      </c>
    </row>
    <row r="89">
      <c r="A89" s="54">
        <v>43447.0</v>
      </c>
      <c r="B89" s="11">
        <v>100.7004</v>
      </c>
      <c r="C89" s="47">
        <f t="shared" si="3"/>
        <v>0.0002701811406</v>
      </c>
      <c r="D89" s="42">
        <v>10737.6</v>
      </c>
      <c r="E89" s="11">
        <f t="shared" si="4"/>
        <v>0.01786399852</v>
      </c>
      <c r="F89" s="48">
        <v>7.411</v>
      </c>
      <c r="G89" s="49">
        <f t="shared" si="1"/>
        <v>0.07411</v>
      </c>
      <c r="H89" s="50">
        <f t="shared" si="2"/>
        <v>0.0001958888048</v>
      </c>
      <c r="I89" s="51">
        <f t="shared" si="5"/>
        <v>-0.01500098254</v>
      </c>
      <c r="J89" s="53">
        <f t="shared" si="6"/>
        <v>0.01527116368</v>
      </c>
      <c r="K89" s="40">
        <f t="shared" si="7"/>
        <v>0.03286498106</v>
      </c>
    </row>
    <row r="90">
      <c r="A90" s="54">
        <v>43448.0</v>
      </c>
      <c r="B90" s="11">
        <v>100.7248</v>
      </c>
      <c r="C90" s="47">
        <f t="shared" si="3"/>
        <v>0.0002423029104</v>
      </c>
      <c r="D90" s="42">
        <v>10791.55</v>
      </c>
      <c r="E90" s="11">
        <f t="shared" si="4"/>
        <v>0.005024400238</v>
      </c>
      <c r="F90" s="48">
        <v>7.408</v>
      </c>
      <c r="G90" s="49">
        <f t="shared" si="1"/>
        <v>0.07408</v>
      </c>
      <c r="H90" s="50">
        <f t="shared" si="2"/>
        <v>0.0001958122679</v>
      </c>
      <c r="I90" s="51">
        <f t="shared" si="5"/>
        <v>-0.0003907159383</v>
      </c>
      <c r="J90" s="53">
        <f t="shared" si="6"/>
        <v>0.0006330188487</v>
      </c>
      <c r="K90" s="40">
        <f t="shared" si="7"/>
        <v>0.005415116177</v>
      </c>
    </row>
    <row r="91">
      <c r="A91" s="54">
        <v>43451.0</v>
      </c>
      <c r="B91" s="11">
        <v>100.7856</v>
      </c>
      <c r="C91" s="47">
        <f t="shared" si="3"/>
        <v>0.0006036249265</v>
      </c>
      <c r="D91" s="42">
        <v>10805.45</v>
      </c>
      <c r="E91" s="11">
        <f t="shared" si="4"/>
        <v>0.001288044813</v>
      </c>
      <c r="F91" s="48">
        <v>7.441</v>
      </c>
      <c r="G91" s="49">
        <f t="shared" si="1"/>
        <v>0.07441</v>
      </c>
      <c r="H91" s="50">
        <f t="shared" si="2"/>
        <v>0.0001966540564</v>
      </c>
      <c r="I91" s="51">
        <f t="shared" si="5"/>
        <v>0.004298956544</v>
      </c>
      <c r="J91" s="53">
        <f t="shared" si="6"/>
        <v>-0.003695331617</v>
      </c>
      <c r="K91" s="40">
        <f t="shared" si="7"/>
        <v>-0.003010911731</v>
      </c>
    </row>
    <row r="92">
      <c r="A92" s="54">
        <v>43452.0</v>
      </c>
      <c r="B92" s="11">
        <v>100.8121</v>
      </c>
      <c r="C92" s="47">
        <f t="shared" si="3"/>
        <v>0.0002629343875</v>
      </c>
      <c r="D92" s="42">
        <v>10888.35</v>
      </c>
      <c r="E92" s="11">
        <f t="shared" si="4"/>
        <v>0.00767205438</v>
      </c>
      <c r="F92" s="48">
        <v>7.461</v>
      </c>
      <c r="G92" s="49">
        <f t="shared" si="1"/>
        <v>0.07461</v>
      </c>
      <c r="H92" s="50">
        <f t="shared" si="2"/>
        <v>0.0001971641057</v>
      </c>
      <c r="I92" s="51">
        <f t="shared" si="5"/>
        <v>0.002593637459</v>
      </c>
      <c r="J92" s="53">
        <f t="shared" si="6"/>
        <v>-0.002330703071</v>
      </c>
      <c r="K92" s="40">
        <f t="shared" si="7"/>
        <v>0.005078416921</v>
      </c>
    </row>
    <row r="93">
      <c r="A93" s="54">
        <v>43453.0</v>
      </c>
      <c r="B93" s="11">
        <v>100.8455</v>
      </c>
      <c r="C93" s="47">
        <f t="shared" si="3"/>
        <v>0.0003313094361</v>
      </c>
      <c r="D93" s="42">
        <v>10908.7</v>
      </c>
      <c r="E93" s="11">
        <f t="shared" si="4"/>
        <v>0.001868970046</v>
      </c>
      <c r="F93" s="48">
        <v>7.345</v>
      </c>
      <c r="G93" s="49">
        <f t="shared" si="1"/>
        <v>0.07345</v>
      </c>
      <c r="H93" s="50">
        <f t="shared" si="2"/>
        <v>0.0001942045008</v>
      </c>
      <c r="I93" s="51">
        <f t="shared" si="5"/>
        <v>-0.01501087048</v>
      </c>
      <c r="J93" s="53">
        <f t="shared" si="6"/>
        <v>0.01534217992</v>
      </c>
      <c r="K93" s="40">
        <f t="shared" si="7"/>
        <v>0.01687984053</v>
      </c>
    </row>
    <row r="94">
      <c r="A94" s="54">
        <v>43454.0</v>
      </c>
      <c r="B94" s="11">
        <v>100.8709</v>
      </c>
      <c r="C94" s="47">
        <f t="shared" si="3"/>
        <v>0.0002518704355</v>
      </c>
      <c r="D94" s="42">
        <v>10967.3</v>
      </c>
      <c r="E94" s="11">
        <f t="shared" si="4"/>
        <v>0.005371859158</v>
      </c>
      <c r="F94" s="48">
        <v>7.219</v>
      </c>
      <c r="G94" s="49">
        <f t="shared" si="1"/>
        <v>0.07219</v>
      </c>
      <c r="H94" s="50">
        <f t="shared" si="2"/>
        <v>0.0001909861417</v>
      </c>
      <c r="I94" s="51">
        <f t="shared" si="5"/>
        <v>-0.01657201103</v>
      </c>
      <c r="J94" s="53">
        <f t="shared" si="6"/>
        <v>0.01682388146</v>
      </c>
      <c r="K94" s="40">
        <f t="shared" si="7"/>
        <v>0.02194387019</v>
      </c>
    </row>
    <row r="95">
      <c r="A95" s="54">
        <v>43455.0</v>
      </c>
      <c r="B95" s="11">
        <v>100.8922</v>
      </c>
      <c r="C95" s="47">
        <f t="shared" si="3"/>
        <v>0.0002111609989</v>
      </c>
      <c r="D95" s="42">
        <v>10951.7</v>
      </c>
      <c r="E95" s="11">
        <f t="shared" si="4"/>
        <v>-0.001422410256</v>
      </c>
      <c r="F95" s="48">
        <v>7.272</v>
      </c>
      <c r="G95" s="49">
        <f t="shared" si="1"/>
        <v>0.07272</v>
      </c>
      <c r="H95" s="50">
        <f t="shared" si="2"/>
        <v>0.0001923403553</v>
      </c>
      <c r="I95" s="51">
        <f t="shared" si="5"/>
        <v>0.007090637951</v>
      </c>
      <c r="J95" s="53">
        <f t="shared" si="6"/>
        <v>-0.006879476952</v>
      </c>
      <c r="K95" s="40">
        <f t="shared" si="7"/>
        <v>-0.008513048207</v>
      </c>
    </row>
    <row r="96">
      <c r="A96" s="54">
        <v>43458.0</v>
      </c>
      <c r="B96" s="11">
        <v>100.9539</v>
      </c>
      <c r="C96" s="47">
        <f t="shared" si="3"/>
        <v>0.0006115438062</v>
      </c>
      <c r="D96" s="42">
        <v>10754.0</v>
      </c>
      <c r="E96" s="11">
        <f t="shared" si="4"/>
        <v>-0.01805199193</v>
      </c>
      <c r="F96" s="48">
        <v>7.276</v>
      </c>
      <c r="G96" s="49">
        <f t="shared" si="1"/>
        <v>0.07276</v>
      </c>
      <c r="H96" s="50">
        <f t="shared" si="2"/>
        <v>0.000192442533</v>
      </c>
      <c r="I96" s="51">
        <f t="shared" si="5"/>
        <v>0.0005312339052</v>
      </c>
      <c r="J96" s="53">
        <f t="shared" si="6"/>
        <v>0.00008030990095</v>
      </c>
      <c r="K96" s="40">
        <f t="shared" si="7"/>
        <v>-0.01858322583</v>
      </c>
    </row>
    <row r="97">
      <c r="A97" s="54">
        <v>43460.0</v>
      </c>
      <c r="B97" s="11">
        <v>100.9946</v>
      </c>
      <c r="C97" s="47">
        <f t="shared" si="3"/>
        <v>0.000403154311</v>
      </c>
      <c r="D97" s="42">
        <v>10663.5</v>
      </c>
      <c r="E97" s="11">
        <f t="shared" si="4"/>
        <v>-0.008415473312</v>
      </c>
      <c r="F97" s="48">
        <v>7.287</v>
      </c>
      <c r="G97" s="49">
        <f t="shared" si="1"/>
        <v>0.07287</v>
      </c>
      <c r="H97" s="50">
        <f t="shared" si="2"/>
        <v>0.0001927235021</v>
      </c>
      <c r="I97" s="51">
        <f t="shared" si="5"/>
        <v>0.001460015777</v>
      </c>
      <c r="J97" s="53">
        <f t="shared" si="6"/>
        <v>-0.001056861466</v>
      </c>
      <c r="K97" s="40">
        <f t="shared" si="7"/>
        <v>-0.00987548909</v>
      </c>
    </row>
    <row r="98">
      <c r="A98" s="54">
        <v>43461.0</v>
      </c>
      <c r="B98" s="11">
        <v>101.0315</v>
      </c>
      <c r="C98" s="47">
        <f t="shared" si="3"/>
        <v>0.0003653660691</v>
      </c>
      <c r="D98" s="42">
        <v>10729.85</v>
      </c>
      <c r="E98" s="11">
        <f t="shared" si="4"/>
        <v>0.006222159704</v>
      </c>
      <c r="F98" s="48">
        <v>7.263</v>
      </c>
      <c r="G98" s="49">
        <f t="shared" si="1"/>
        <v>0.07263</v>
      </c>
      <c r="H98" s="50">
        <f t="shared" si="2"/>
        <v>0.0001921104415</v>
      </c>
      <c r="I98" s="51">
        <f t="shared" si="5"/>
        <v>-0.003181037102</v>
      </c>
      <c r="J98" s="53">
        <f t="shared" si="6"/>
        <v>0.003546403171</v>
      </c>
      <c r="K98" s="40">
        <f t="shared" si="7"/>
        <v>0.009403196806</v>
      </c>
    </row>
    <row r="99">
      <c r="A99" s="54">
        <v>43462.0</v>
      </c>
      <c r="B99" s="11">
        <v>101.0737</v>
      </c>
      <c r="C99" s="47">
        <f t="shared" si="3"/>
        <v>0.0004176915121</v>
      </c>
      <c r="D99" s="42">
        <v>10779.8</v>
      </c>
      <c r="E99" s="11">
        <f t="shared" si="4"/>
        <v>0.004655237492</v>
      </c>
      <c r="F99" s="48">
        <v>7.277</v>
      </c>
      <c r="G99" s="49">
        <f t="shared" si="1"/>
        <v>0.07277</v>
      </c>
      <c r="H99" s="50">
        <f t="shared" si="2"/>
        <v>0.0001924680768</v>
      </c>
      <c r="I99" s="51">
        <f t="shared" si="5"/>
        <v>0.001861613087</v>
      </c>
      <c r="J99" s="53">
        <f t="shared" si="6"/>
        <v>-0.001443921575</v>
      </c>
      <c r="K99" s="40">
        <f t="shared" si="7"/>
        <v>0.002793624405</v>
      </c>
    </row>
    <row r="100">
      <c r="A100" s="54">
        <v>43465.0</v>
      </c>
      <c r="B100" s="11">
        <v>100.4475</v>
      </c>
      <c r="C100" s="47">
        <f t="shared" si="3"/>
        <v>-0.00619547914</v>
      </c>
      <c r="D100" s="42">
        <v>10859.9</v>
      </c>
      <c r="E100" s="11">
        <f t="shared" si="4"/>
        <v>0.007430564574</v>
      </c>
      <c r="F100" s="48">
        <v>7.391</v>
      </c>
      <c r="G100" s="49">
        <f t="shared" si="1"/>
        <v>0.07391</v>
      </c>
      <c r="H100" s="50">
        <f t="shared" si="2"/>
        <v>0.0001953785187</v>
      </c>
      <c r="I100" s="51">
        <f t="shared" si="5"/>
        <v>0.01512168608</v>
      </c>
      <c r="J100" s="53">
        <f t="shared" si="6"/>
        <v>-0.02131716522</v>
      </c>
      <c r="K100" s="40">
        <f t="shared" si="7"/>
        <v>-0.007691121507</v>
      </c>
    </row>
    <row r="101">
      <c r="A101" s="46">
        <v>43466.0</v>
      </c>
      <c r="B101" s="11">
        <v>100.481</v>
      </c>
      <c r="C101" s="47">
        <f t="shared" si="3"/>
        <v>0.0003335075537</v>
      </c>
      <c r="D101" s="42">
        <v>10862.55</v>
      </c>
      <c r="E101" s="11">
        <f t="shared" si="4"/>
        <v>0.0002440169799</v>
      </c>
      <c r="F101" s="48">
        <v>7.37</v>
      </c>
      <c r="G101" s="49">
        <f t="shared" si="1"/>
        <v>0.0737</v>
      </c>
      <c r="H101" s="50">
        <f t="shared" si="2"/>
        <v>0.0001948426162</v>
      </c>
      <c r="I101" s="51">
        <f t="shared" si="5"/>
        <v>-0.002742893368</v>
      </c>
      <c r="J101" s="53">
        <f t="shared" si="6"/>
        <v>0.003076400922</v>
      </c>
      <c r="K101" s="40">
        <f t="shared" si="7"/>
        <v>0.002986910348</v>
      </c>
    </row>
    <row r="102">
      <c r="A102" s="46">
        <v>43467.0</v>
      </c>
      <c r="B102" s="11">
        <v>100.5183</v>
      </c>
      <c r="C102" s="47">
        <f t="shared" si="3"/>
        <v>0.0003712144585</v>
      </c>
      <c r="D102" s="42">
        <v>10910.1</v>
      </c>
      <c r="E102" s="11">
        <f t="shared" si="4"/>
        <v>0.00437742519</v>
      </c>
      <c r="F102" s="48">
        <v>7.418</v>
      </c>
      <c r="G102" s="49">
        <f t="shared" si="1"/>
        <v>0.07418</v>
      </c>
      <c r="H102" s="50">
        <f t="shared" si="2"/>
        <v>0.0001960673826</v>
      </c>
      <c r="I102" s="51">
        <f t="shared" si="5"/>
        <v>0.006285926319</v>
      </c>
      <c r="J102" s="53">
        <f t="shared" si="6"/>
        <v>-0.005914711861</v>
      </c>
      <c r="K102" s="40">
        <f t="shared" si="7"/>
        <v>-0.001908501129</v>
      </c>
    </row>
    <row r="103">
      <c r="A103" s="46">
        <v>43468.0</v>
      </c>
      <c r="B103" s="11">
        <v>100.5258</v>
      </c>
      <c r="C103" s="47">
        <f t="shared" si="3"/>
        <v>0.00007461327937</v>
      </c>
      <c r="D103" s="42">
        <v>10792.5</v>
      </c>
      <c r="E103" s="11">
        <f t="shared" si="4"/>
        <v>-0.01077900294</v>
      </c>
      <c r="F103" s="48">
        <v>7.354</v>
      </c>
      <c r="G103" s="49">
        <f t="shared" si="1"/>
        <v>0.07354</v>
      </c>
      <c r="H103" s="50">
        <f t="shared" si="2"/>
        <v>0.0001944342394</v>
      </c>
      <c r="I103" s="51">
        <f t="shared" si="5"/>
        <v>-0.008329499253</v>
      </c>
      <c r="J103" s="53">
        <f t="shared" si="6"/>
        <v>0.008404112532</v>
      </c>
      <c r="K103" s="40">
        <f t="shared" si="7"/>
        <v>-0.002449503689</v>
      </c>
    </row>
    <row r="104">
      <c r="A104" s="46">
        <v>43469.0</v>
      </c>
      <c r="B104" s="11">
        <v>100.5493</v>
      </c>
      <c r="C104" s="47">
        <f t="shared" si="3"/>
        <v>0.000233770833</v>
      </c>
      <c r="D104" s="42">
        <v>10672.25</v>
      </c>
      <c r="E104" s="11">
        <f t="shared" si="4"/>
        <v>-0.01114199676</v>
      </c>
      <c r="F104" s="48">
        <v>7.427</v>
      </c>
      <c r="G104" s="49">
        <f t="shared" si="1"/>
        <v>0.07427</v>
      </c>
      <c r="H104" s="50">
        <f t="shared" si="2"/>
        <v>0.0001962969655</v>
      </c>
      <c r="I104" s="51">
        <f t="shared" si="5"/>
        <v>0.009580236719</v>
      </c>
      <c r="J104" s="53">
        <f t="shared" si="6"/>
        <v>-0.009346465886</v>
      </c>
      <c r="K104" s="40">
        <f t="shared" si="7"/>
        <v>-0.02072223348</v>
      </c>
    </row>
    <row r="105">
      <c r="A105" s="46">
        <v>43472.0</v>
      </c>
      <c r="B105" s="11">
        <v>100.6121</v>
      </c>
      <c r="C105" s="47">
        <f t="shared" si="3"/>
        <v>0.0006245692412</v>
      </c>
      <c r="D105" s="42">
        <v>10727.35</v>
      </c>
      <c r="E105" s="11">
        <f t="shared" si="4"/>
        <v>0.005162922533</v>
      </c>
      <c r="F105" s="48">
        <v>7.448</v>
      </c>
      <c r="G105" s="49">
        <f t="shared" si="1"/>
        <v>0.07448</v>
      </c>
      <c r="H105" s="50">
        <f t="shared" si="2"/>
        <v>0.0001968325844</v>
      </c>
      <c r="I105" s="51">
        <f t="shared" si="5"/>
        <v>0.002728615303</v>
      </c>
      <c r="J105" s="53">
        <f t="shared" si="6"/>
        <v>-0.002104046062</v>
      </c>
      <c r="K105" s="40">
        <f t="shared" si="7"/>
        <v>0.00243430723</v>
      </c>
    </row>
    <row r="106">
      <c r="A106" s="46">
        <v>43473.0</v>
      </c>
      <c r="B106" s="11">
        <v>100.6533</v>
      </c>
      <c r="C106" s="47">
        <f t="shared" si="3"/>
        <v>0.0004094934903</v>
      </c>
      <c r="D106" s="42">
        <v>10771.8</v>
      </c>
      <c r="E106" s="11">
        <f t="shared" si="4"/>
        <v>0.00414361422</v>
      </c>
      <c r="F106" s="48">
        <v>7.508</v>
      </c>
      <c r="G106" s="49">
        <f t="shared" si="1"/>
        <v>0.07508</v>
      </c>
      <c r="H106" s="50">
        <f t="shared" si="2"/>
        <v>0.0001983623491</v>
      </c>
      <c r="I106" s="51">
        <f t="shared" si="5"/>
        <v>0.007771907681</v>
      </c>
      <c r="J106" s="53">
        <f t="shared" si="6"/>
        <v>-0.007362414191</v>
      </c>
      <c r="K106" s="40">
        <f t="shared" si="7"/>
        <v>-0.003628293461</v>
      </c>
    </row>
    <row r="107">
      <c r="A107" s="46">
        <v>43474.0</v>
      </c>
      <c r="B107" s="11">
        <v>100.6808</v>
      </c>
      <c r="C107" s="47">
        <f t="shared" si="3"/>
        <v>0.0002732150858</v>
      </c>
      <c r="D107" s="42">
        <v>10802.15</v>
      </c>
      <c r="E107" s="11">
        <f t="shared" si="4"/>
        <v>0.002817542101</v>
      </c>
      <c r="F107" s="48">
        <v>7.454</v>
      </c>
      <c r="G107" s="49">
        <f t="shared" si="1"/>
        <v>0.07454</v>
      </c>
      <c r="H107" s="50">
        <f t="shared" si="2"/>
        <v>0.0001969855992</v>
      </c>
      <c r="I107" s="51">
        <f t="shared" si="5"/>
        <v>-0.006940580626</v>
      </c>
      <c r="J107" s="53">
        <f t="shared" si="6"/>
        <v>0.007213795712</v>
      </c>
      <c r="K107" s="40">
        <f t="shared" si="7"/>
        <v>0.009758122726</v>
      </c>
    </row>
    <row r="108">
      <c r="A108" s="54">
        <v>43475.0</v>
      </c>
      <c r="B108" s="11">
        <v>100.7053</v>
      </c>
      <c r="C108" s="47">
        <f t="shared" si="3"/>
        <v>0.0002433433187</v>
      </c>
      <c r="D108" s="42">
        <v>10855.15</v>
      </c>
      <c r="E108" s="11">
        <f t="shared" si="4"/>
        <v>0.004906430664</v>
      </c>
      <c r="F108" s="48">
        <v>7.47</v>
      </c>
      <c r="G108" s="49">
        <f t="shared" si="1"/>
        <v>0.0747</v>
      </c>
      <c r="H108" s="50">
        <f t="shared" si="2"/>
        <v>0.000197393597</v>
      </c>
      <c r="I108" s="51">
        <f t="shared" si="5"/>
        <v>0.002071206269</v>
      </c>
      <c r="J108" s="53">
        <f t="shared" si="6"/>
        <v>-0.001827862951</v>
      </c>
      <c r="K108" s="40">
        <f t="shared" si="7"/>
        <v>0.002835224395</v>
      </c>
    </row>
    <row r="109">
      <c r="A109" s="54">
        <v>43476.0</v>
      </c>
      <c r="B109" s="11">
        <v>100.7296</v>
      </c>
      <c r="C109" s="47">
        <f t="shared" si="3"/>
        <v>0.0002412981243</v>
      </c>
      <c r="D109" s="42">
        <v>10821.6</v>
      </c>
      <c r="E109" s="11">
        <f t="shared" si="4"/>
        <v>-0.003090698885</v>
      </c>
      <c r="F109" s="48">
        <v>7.476</v>
      </c>
      <c r="G109" s="49">
        <f t="shared" si="1"/>
        <v>0.07476</v>
      </c>
      <c r="H109" s="50">
        <f t="shared" si="2"/>
        <v>0.0001975465806</v>
      </c>
      <c r="I109" s="51">
        <f t="shared" si="5"/>
        <v>0.0007750178489</v>
      </c>
      <c r="J109" s="53">
        <f t="shared" si="6"/>
        <v>-0.0005337197246</v>
      </c>
      <c r="K109" s="40">
        <f t="shared" si="7"/>
        <v>-0.003865716734</v>
      </c>
    </row>
    <row r="110">
      <c r="A110" s="54">
        <v>43479.0</v>
      </c>
      <c r="B110" s="11">
        <v>100.8052</v>
      </c>
      <c r="C110" s="47">
        <f t="shared" si="3"/>
        <v>0.0007505241756</v>
      </c>
      <c r="D110" s="42">
        <v>10794.95</v>
      </c>
      <c r="E110" s="11">
        <f t="shared" si="4"/>
        <v>-0.002462667258</v>
      </c>
      <c r="F110" s="48">
        <v>7.503</v>
      </c>
      <c r="G110" s="49">
        <f t="shared" si="1"/>
        <v>0.07503</v>
      </c>
      <c r="H110" s="50">
        <f t="shared" si="2"/>
        <v>0.0001982349012</v>
      </c>
      <c r="I110" s="51">
        <f t="shared" si="5"/>
        <v>0.003484346021</v>
      </c>
      <c r="J110" s="53">
        <f t="shared" si="6"/>
        <v>-0.002733821845</v>
      </c>
      <c r="K110" s="40">
        <f t="shared" si="7"/>
        <v>-0.005947013279</v>
      </c>
    </row>
    <row r="111">
      <c r="A111" s="54">
        <v>43480.0</v>
      </c>
      <c r="B111" s="11">
        <v>100.8293</v>
      </c>
      <c r="C111" s="47">
        <f t="shared" si="3"/>
        <v>0.0002390749684</v>
      </c>
      <c r="D111" s="42">
        <v>10737.6</v>
      </c>
      <c r="E111" s="11">
        <f t="shared" si="4"/>
        <v>-0.00531266935</v>
      </c>
      <c r="F111" s="48">
        <v>7.431</v>
      </c>
      <c r="G111" s="49">
        <f t="shared" si="1"/>
        <v>0.07431</v>
      </c>
      <c r="H111" s="50">
        <f t="shared" si="2"/>
        <v>0.0001963989962</v>
      </c>
      <c r="I111" s="51">
        <f t="shared" si="5"/>
        <v>-0.009261260267</v>
      </c>
      <c r="J111" s="53">
        <f t="shared" si="6"/>
        <v>0.009500335236</v>
      </c>
      <c r="K111" s="40">
        <f t="shared" si="7"/>
        <v>0.003948590917</v>
      </c>
    </row>
    <row r="112">
      <c r="A112" s="54">
        <v>43481.0</v>
      </c>
      <c r="B112" s="11">
        <v>100.8504</v>
      </c>
      <c r="C112" s="47">
        <f t="shared" si="3"/>
        <v>0.0002092645689</v>
      </c>
      <c r="D112" s="42">
        <v>10886.8</v>
      </c>
      <c r="E112" s="11">
        <f t="shared" si="4"/>
        <v>0.0138950976</v>
      </c>
      <c r="F112" s="48">
        <v>7.473</v>
      </c>
      <c r="G112" s="49">
        <f t="shared" si="1"/>
        <v>0.07473</v>
      </c>
      <c r="H112" s="50">
        <f t="shared" si="2"/>
        <v>0.0001974700898</v>
      </c>
      <c r="I112" s="51">
        <f t="shared" si="5"/>
        <v>0.005453661563</v>
      </c>
      <c r="J112" s="53">
        <f t="shared" si="6"/>
        <v>-0.005244396994</v>
      </c>
      <c r="K112" s="40">
        <f t="shared" si="7"/>
        <v>0.008441436038</v>
      </c>
    </row>
    <row r="113">
      <c r="A113" s="54">
        <v>43482.0</v>
      </c>
      <c r="B113" s="11">
        <v>100.8715</v>
      </c>
      <c r="C113" s="47">
        <f t="shared" si="3"/>
        <v>0.0002092207864</v>
      </c>
      <c r="D113" s="42">
        <v>10890.3</v>
      </c>
      <c r="E113" s="11">
        <f t="shared" si="4"/>
        <v>0.0003214902451</v>
      </c>
      <c r="F113" s="48">
        <v>7.563</v>
      </c>
      <c r="G113" s="49">
        <f t="shared" si="1"/>
        <v>0.07563</v>
      </c>
      <c r="H113" s="50">
        <f t="shared" si="2"/>
        <v>0.0001997638856</v>
      </c>
      <c r="I113" s="51">
        <f t="shared" si="5"/>
        <v>0.01161591483</v>
      </c>
      <c r="J113" s="53">
        <f t="shared" si="6"/>
        <v>-0.01140669404</v>
      </c>
      <c r="K113" s="40">
        <f t="shared" si="7"/>
        <v>-0.01129442459</v>
      </c>
    </row>
    <row r="114">
      <c r="A114" s="54">
        <v>43483.0</v>
      </c>
      <c r="B114" s="11">
        <v>100.8942</v>
      </c>
      <c r="C114" s="47">
        <f t="shared" si="3"/>
        <v>0.000225038787</v>
      </c>
      <c r="D114" s="42">
        <v>10905.2</v>
      </c>
      <c r="E114" s="11">
        <f t="shared" si="4"/>
        <v>0.001368190041</v>
      </c>
      <c r="F114" s="48">
        <v>7.549</v>
      </c>
      <c r="G114" s="49">
        <f t="shared" si="1"/>
        <v>0.07549</v>
      </c>
      <c r="H114" s="50">
        <f t="shared" si="2"/>
        <v>0.0001994071986</v>
      </c>
      <c r="I114" s="51">
        <f t="shared" si="5"/>
        <v>-0.001785542627</v>
      </c>
      <c r="J114" s="53">
        <f t="shared" si="6"/>
        <v>0.002010581414</v>
      </c>
      <c r="K114" s="40">
        <f t="shared" si="7"/>
        <v>0.003153732668</v>
      </c>
    </row>
    <row r="115">
      <c r="A115" s="54">
        <v>43486.0</v>
      </c>
      <c r="B115" s="11">
        <v>100.9561</v>
      </c>
      <c r="C115" s="47">
        <f t="shared" si="3"/>
        <v>0.0006135139582</v>
      </c>
      <c r="D115" s="42">
        <v>10906.95</v>
      </c>
      <c r="E115" s="11">
        <f t="shared" si="4"/>
        <v>0.0001604739024</v>
      </c>
      <c r="F115" s="48">
        <v>7.596</v>
      </c>
      <c r="G115" s="49">
        <f t="shared" si="1"/>
        <v>0.07596</v>
      </c>
      <c r="H115" s="50">
        <f t="shared" si="2"/>
        <v>0.0002006044645</v>
      </c>
      <c r="I115" s="51">
        <f t="shared" si="5"/>
        <v>0.006004125465</v>
      </c>
      <c r="J115" s="53">
        <f t="shared" si="6"/>
        <v>-0.005390611507</v>
      </c>
      <c r="K115" s="40">
        <f t="shared" si="7"/>
        <v>-0.005843651563</v>
      </c>
    </row>
    <row r="116">
      <c r="A116" s="54">
        <v>43487.0</v>
      </c>
      <c r="B116" s="11">
        <v>100.9812</v>
      </c>
      <c r="C116" s="47">
        <f t="shared" si="3"/>
        <v>0.0002486229163</v>
      </c>
      <c r="D116" s="42">
        <v>10961.85</v>
      </c>
      <c r="E116" s="11">
        <f t="shared" si="4"/>
        <v>0.005033487822</v>
      </c>
      <c r="F116" s="48">
        <v>7.569</v>
      </c>
      <c r="G116" s="49">
        <f t="shared" si="1"/>
        <v>0.07569</v>
      </c>
      <c r="H116" s="50">
        <f t="shared" si="2"/>
        <v>0.0001999167372</v>
      </c>
      <c r="I116" s="51">
        <f t="shared" si="5"/>
        <v>-0.0034282749</v>
      </c>
      <c r="J116" s="53">
        <f t="shared" si="6"/>
        <v>0.003676897817</v>
      </c>
      <c r="K116" s="40">
        <f t="shared" si="7"/>
        <v>0.008461762722</v>
      </c>
    </row>
    <row r="117">
      <c r="A117" s="54">
        <v>43488.0</v>
      </c>
      <c r="B117" s="11">
        <v>100.9952</v>
      </c>
      <c r="C117" s="47">
        <f t="shared" si="3"/>
        <v>0.0001386396676</v>
      </c>
      <c r="D117" s="42">
        <v>10922.75</v>
      </c>
      <c r="E117" s="11">
        <f t="shared" si="4"/>
        <v>-0.003566916168</v>
      </c>
      <c r="F117" s="48">
        <v>7.533</v>
      </c>
      <c r="G117" s="49">
        <f t="shared" si="1"/>
        <v>0.07533</v>
      </c>
      <c r="H117" s="50">
        <f t="shared" si="2"/>
        <v>0.0001989994997</v>
      </c>
      <c r="I117" s="51">
        <f t="shared" si="5"/>
        <v>-0.004588097595</v>
      </c>
      <c r="J117" s="53">
        <f t="shared" si="6"/>
        <v>0.004726737262</v>
      </c>
      <c r="K117" s="40">
        <f t="shared" si="7"/>
        <v>0.001021181426</v>
      </c>
    </row>
    <row r="118">
      <c r="A118" s="54">
        <v>43489.0</v>
      </c>
      <c r="B118" s="11">
        <v>101.0169</v>
      </c>
      <c r="C118" s="47">
        <f t="shared" si="3"/>
        <v>0.0002148616964</v>
      </c>
      <c r="D118" s="42">
        <v>10831.5</v>
      </c>
      <c r="E118" s="11">
        <f t="shared" si="4"/>
        <v>-0.008354123275</v>
      </c>
      <c r="F118" s="48">
        <v>7.577</v>
      </c>
      <c r="G118" s="49">
        <f t="shared" si="1"/>
        <v>0.07577</v>
      </c>
      <c r="H118" s="50">
        <f t="shared" si="2"/>
        <v>0.0002001205262</v>
      </c>
      <c r="I118" s="51">
        <f t="shared" si="5"/>
        <v>0.005633313074</v>
      </c>
      <c r="J118" s="53">
        <f t="shared" si="6"/>
        <v>-0.005418451378</v>
      </c>
      <c r="K118" s="40">
        <f t="shared" si="7"/>
        <v>-0.01398743635</v>
      </c>
    </row>
    <row r="119">
      <c r="A119" s="54">
        <v>43490.0</v>
      </c>
      <c r="B119" s="11">
        <v>101.036</v>
      </c>
      <c r="C119" s="47">
        <f t="shared" si="3"/>
        <v>0.0001890772732</v>
      </c>
      <c r="D119" s="42">
        <v>10849.8</v>
      </c>
      <c r="E119" s="11">
        <f t="shared" si="4"/>
        <v>0.001689516687</v>
      </c>
      <c r="F119" s="48">
        <v>7.557</v>
      </c>
      <c r="G119" s="49">
        <f t="shared" si="1"/>
        <v>0.07557</v>
      </c>
      <c r="H119" s="50">
        <f t="shared" si="2"/>
        <v>0.0001996110254</v>
      </c>
      <c r="I119" s="51">
        <f t="shared" si="5"/>
        <v>-0.002545969706</v>
      </c>
      <c r="J119" s="53">
        <f t="shared" si="6"/>
        <v>0.002735046979</v>
      </c>
      <c r="K119" s="40">
        <f t="shared" si="7"/>
        <v>0.004235486394</v>
      </c>
    </row>
    <row r="120">
      <c r="A120" s="54">
        <v>43493.0</v>
      </c>
      <c r="B120" s="11">
        <v>101.1037</v>
      </c>
      <c r="C120" s="47">
        <f t="shared" si="3"/>
        <v>0.0006700581971</v>
      </c>
      <c r="D120" s="42">
        <v>10780.55</v>
      </c>
      <c r="E120" s="11">
        <f t="shared" si="4"/>
        <v>-0.006382606131</v>
      </c>
      <c r="F120" s="48">
        <v>7.546</v>
      </c>
      <c r="G120" s="49">
        <f t="shared" si="1"/>
        <v>0.07546</v>
      </c>
      <c r="H120" s="50">
        <f t="shared" si="2"/>
        <v>0.0001993307597</v>
      </c>
      <c r="I120" s="51">
        <f t="shared" si="5"/>
        <v>-0.001404059279</v>
      </c>
      <c r="J120" s="53">
        <f t="shared" si="6"/>
        <v>0.002074117476</v>
      </c>
      <c r="K120" s="40">
        <f t="shared" si="7"/>
        <v>-0.004978546852</v>
      </c>
    </row>
    <row r="121">
      <c r="A121" s="54">
        <v>43494.0</v>
      </c>
      <c r="B121" s="11">
        <v>101.131</v>
      </c>
      <c r="C121" s="47">
        <f t="shared" si="3"/>
        <v>0.0002700197916</v>
      </c>
      <c r="D121" s="42">
        <v>10661.55</v>
      </c>
      <c r="E121" s="11">
        <f t="shared" si="4"/>
        <v>-0.01103839786</v>
      </c>
      <c r="F121" s="48">
        <v>7.541</v>
      </c>
      <c r="G121" s="49">
        <f t="shared" si="1"/>
        <v>0.07541</v>
      </c>
      <c r="H121" s="50">
        <f t="shared" si="2"/>
        <v>0.0001992033568</v>
      </c>
      <c r="I121" s="51">
        <f t="shared" si="5"/>
        <v>-0.0006391535174</v>
      </c>
      <c r="J121" s="53">
        <f t="shared" si="6"/>
        <v>0.0009091733089</v>
      </c>
      <c r="K121" s="40">
        <f t="shared" si="7"/>
        <v>-0.01039924434</v>
      </c>
    </row>
    <row r="122">
      <c r="A122" s="54">
        <v>43495.0</v>
      </c>
      <c r="B122" s="11">
        <v>101.1523</v>
      </c>
      <c r="C122" s="47">
        <f t="shared" si="3"/>
        <v>0.0002106179114</v>
      </c>
      <c r="D122" s="42">
        <v>10652.2</v>
      </c>
      <c r="E122" s="11">
        <f t="shared" si="4"/>
        <v>-0.0008769831779</v>
      </c>
      <c r="F122" s="48">
        <v>7.525</v>
      </c>
      <c r="G122" s="49">
        <f t="shared" si="1"/>
        <v>0.07525</v>
      </c>
      <c r="H122" s="50">
        <f t="shared" si="2"/>
        <v>0.0001987956276</v>
      </c>
      <c r="I122" s="51">
        <f t="shared" si="5"/>
        <v>-0.002046798643</v>
      </c>
      <c r="J122" s="53">
        <f t="shared" si="6"/>
        <v>0.002257416554</v>
      </c>
      <c r="K122" s="40">
        <f t="shared" si="7"/>
        <v>0.001169815465</v>
      </c>
    </row>
    <row r="123">
      <c r="A123" s="54">
        <v>43496.0</v>
      </c>
      <c r="B123" s="11">
        <v>100.3944</v>
      </c>
      <c r="C123" s="47">
        <f t="shared" si="3"/>
        <v>-0.007492662055</v>
      </c>
      <c r="D123" s="42">
        <v>10651.8</v>
      </c>
      <c r="E123" s="11">
        <f t="shared" si="4"/>
        <v>-0.00003755092845</v>
      </c>
      <c r="F123" s="48">
        <v>7.551</v>
      </c>
      <c r="G123" s="49">
        <f t="shared" si="1"/>
        <v>0.07551</v>
      </c>
      <c r="H123" s="50">
        <f t="shared" si="2"/>
        <v>0.0001994581568</v>
      </c>
      <c r="I123" s="51">
        <f t="shared" si="5"/>
        <v>0.003332714979</v>
      </c>
      <c r="J123" s="53">
        <f t="shared" si="6"/>
        <v>-0.01082537703</v>
      </c>
      <c r="K123" s="40">
        <f t="shared" si="7"/>
        <v>-0.003370265907</v>
      </c>
    </row>
    <row r="124">
      <c r="A124" s="46">
        <v>43497.0</v>
      </c>
      <c r="B124" s="11">
        <v>100.4132</v>
      </c>
      <c r="C124" s="47">
        <f t="shared" si="3"/>
        <v>0.0001872614409</v>
      </c>
      <c r="D124" s="42">
        <v>10830.95</v>
      </c>
      <c r="E124" s="11">
        <f t="shared" si="4"/>
        <v>0.01681875364</v>
      </c>
      <c r="F124" s="48">
        <v>7.483</v>
      </c>
      <c r="G124" s="49">
        <f t="shared" si="1"/>
        <v>0.07483</v>
      </c>
      <c r="H124" s="50">
        <f t="shared" si="2"/>
        <v>0.0001977250506</v>
      </c>
      <c r="I124" s="51">
        <f t="shared" si="5"/>
        <v>-0.008689071324</v>
      </c>
      <c r="J124" s="53">
        <f t="shared" si="6"/>
        <v>0.008876332764</v>
      </c>
      <c r="K124" s="40">
        <f t="shared" si="7"/>
        <v>0.02550782496</v>
      </c>
    </row>
    <row r="125">
      <c r="A125" s="46">
        <v>43500.0</v>
      </c>
      <c r="B125" s="11">
        <v>100.4584</v>
      </c>
      <c r="C125" s="47">
        <f t="shared" si="3"/>
        <v>0.0004501400214</v>
      </c>
      <c r="D125" s="42">
        <v>10893.65</v>
      </c>
      <c r="E125" s="11">
        <f t="shared" si="4"/>
        <v>0.00578896588</v>
      </c>
      <c r="F125" s="48">
        <v>7.61</v>
      </c>
      <c r="G125" s="49">
        <f t="shared" si="1"/>
        <v>0.0761</v>
      </c>
      <c r="H125" s="50">
        <f t="shared" si="2"/>
        <v>0.000200960996</v>
      </c>
      <c r="I125" s="51">
        <f t="shared" si="5"/>
        <v>0.01636588501</v>
      </c>
      <c r="J125" s="53">
        <f t="shared" si="6"/>
        <v>-0.01591574498</v>
      </c>
      <c r="K125" s="40">
        <f t="shared" si="7"/>
        <v>-0.01057691913</v>
      </c>
    </row>
    <row r="126">
      <c r="A126" s="46">
        <v>43501.0</v>
      </c>
      <c r="B126" s="11">
        <v>100.4775</v>
      </c>
      <c r="C126" s="47">
        <f t="shared" si="3"/>
        <v>0.0001901284512</v>
      </c>
      <c r="D126" s="42">
        <v>10912.25</v>
      </c>
      <c r="E126" s="11">
        <f t="shared" si="4"/>
        <v>0.001707416706</v>
      </c>
      <c r="F126" s="48">
        <v>7.672</v>
      </c>
      <c r="G126" s="49">
        <f t="shared" si="1"/>
        <v>0.07672</v>
      </c>
      <c r="H126" s="50">
        <f t="shared" si="2"/>
        <v>0.0002025393657</v>
      </c>
      <c r="I126" s="51">
        <f t="shared" si="5"/>
        <v>0.007854109446</v>
      </c>
      <c r="J126" s="53">
        <f t="shared" si="6"/>
        <v>-0.007663980995</v>
      </c>
      <c r="K126" s="40">
        <f t="shared" si="7"/>
        <v>-0.00614669274</v>
      </c>
    </row>
    <row r="127">
      <c r="A127" s="46">
        <v>43502.0</v>
      </c>
      <c r="B127" s="11">
        <v>100.4976</v>
      </c>
      <c r="C127" s="47">
        <f t="shared" si="3"/>
        <v>0.0002000447861</v>
      </c>
      <c r="D127" s="42">
        <v>10934.35</v>
      </c>
      <c r="E127" s="11">
        <f t="shared" si="4"/>
        <v>0.002025246856</v>
      </c>
      <c r="F127" s="48">
        <v>7.615</v>
      </c>
      <c r="G127" s="49">
        <f t="shared" si="1"/>
        <v>0.07615</v>
      </c>
      <c r="H127" s="50">
        <f t="shared" si="2"/>
        <v>0.0002010883175</v>
      </c>
      <c r="I127" s="51">
        <f t="shared" si="5"/>
        <v>-0.007164277235</v>
      </c>
      <c r="J127" s="53">
        <f t="shared" si="6"/>
        <v>0.007364322021</v>
      </c>
      <c r="K127" s="40">
        <f t="shared" si="7"/>
        <v>0.009189524091</v>
      </c>
    </row>
    <row r="128">
      <c r="A128" s="46">
        <v>43503.0</v>
      </c>
      <c r="B128" s="11">
        <v>100.5648</v>
      </c>
      <c r="C128" s="47">
        <f t="shared" si="3"/>
        <v>0.0006686726847</v>
      </c>
      <c r="D128" s="42">
        <v>11062.45</v>
      </c>
      <c r="E128" s="11">
        <f t="shared" si="4"/>
        <v>0.01171537403</v>
      </c>
      <c r="F128" s="48">
        <v>7.565</v>
      </c>
      <c r="G128" s="49">
        <f t="shared" si="1"/>
        <v>0.07565</v>
      </c>
      <c r="H128" s="50">
        <f t="shared" si="2"/>
        <v>0.0001998148371</v>
      </c>
      <c r="I128" s="51">
        <f t="shared" si="5"/>
        <v>-0.006332941058</v>
      </c>
      <c r="J128" s="53">
        <f t="shared" si="6"/>
        <v>0.007001613743</v>
      </c>
      <c r="K128" s="40">
        <f t="shared" si="7"/>
        <v>0.01804831509</v>
      </c>
    </row>
    <row r="129">
      <c r="A129" s="46">
        <v>43504.0</v>
      </c>
      <c r="B129" s="11">
        <v>100.5881</v>
      </c>
      <c r="C129" s="47">
        <f t="shared" si="3"/>
        <v>0.0002316914069</v>
      </c>
      <c r="D129" s="42">
        <v>11069.4</v>
      </c>
      <c r="E129" s="11">
        <f t="shared" si="4"/>
        <v>0.0006282514271</v>
      </c>
      <c r="F129" s="48">
        <v>7.501</v>
      </c>
      <c r="G129" s="49">
        <f t="shared" si="1"/>
        <v>0.07501</v>
      </c>
      <c r="H129" s="50">
        <f t="shared" si="2"/>
        <v>0.0001981839204</v>
      </c>
      <c r="I129" s="51">
        <f t="shared" si="5"/>
        <v>-0.008162140057</v>
      </c>
      <c r="J129" s="53">
        <f t="shared" si="6"/>
        <v>0.008393831464</v>
      </c>
      <c r="K129" s="40">
        <f t="shared" si="7"/>
        <v>0.008790391484</v>
      </c>
    </row>
    <row r="130">
      <c r="A130" s="54">
        <v>43507.0</v>
      </c>
      <c r="B130" s="11">
        <v>100.6458</v>
      </c>
      <c r="C130" s="47">
        <f t="shared" si="3"/>
        <v>0.0005736265025</v>
      </c>
      <c r="D130" s="42">
        <v>10943.6</v>
      </c>
      <c r="E130" s="11">
        <f t="shared" si="4"/>
        <v>-0.01136466294</v>
      </c>
      <c r="F130" s="48">
        <v>7.524</v>
      </c>
      <c r="G130" s="49">
        <f t="shared" si="1"/>
        <v>0.07524</v>
      </c>
      <c r="H130" s="50">
        <f t="shared" si="2"/>
        <v>0.0001987701425</v>
      </c>
      <c r="I130" s="51">
        <f t="shared" si="5"/>
        <v>0.002957970145</v>
      </c>
      <c r="J130" s="53">
        <f t="shared" si="6"/>
        <v>-0.002384343642</v>
      </c>
      <c r="K130" s="40">
        <f t="shared" si="7"/>
        <v>-0.01432263309</v>
      </c>
    </row>
    <row r="131">
      <c r="A131" s="54">
        <v>43508.0</v>
      </c>
      <c r="B131" s="11">
        <v>100.662</v>
      </c>
      <c r="C131" s="47">
        <f t="shared" si="3"/>
        <v>0.000160960517</v>
      </c>
      <c r="D131" s="42">
        <v>10888.8</v>
      </c>
      <c r="E131" s="11">
        <f t="shared" si="4"/>
        <v>-0.005007492964</v>
      </c>
      <c r="F131" s="48">
        <v>7.529</v>
      </c>
      <c r="G131" s="49">
        <f t="shared" si="1"/>
        <v>0.07529</v>
      </c>
      <c r="H131" s="50">
        <f t="shared" si="2"/>
        <v>0.0001988975656</v>
      </c>
      <c r="I131" s="51">
        <f t="shared" si="5"/>
        <v>0.0006410572626</v>
      </c>
      <c r="J131" s="53">
        <f t="shared" si="6"/>
        <v>-0.0004800967456</v>
      </c>
      <c r="K131" s="40">
        <f t="shared" si="7"/>
        <v>-0.005648550227</v>
      </c>
    </row>
    <row r="132">
      <c r="A132" s="54">
        <v>43509.0</v>
      </c>
      <c r="B132" s="11">
        <v>100.698</v>
      </c>
      <c r="C132" s="47">
        <f t="shared" si="3"/>
        <v>0.000357632473</v>
      </c>
      <c r="D132" s="42">
        <v>10831.4</v>
      </c>
      <c r="E132" s="11">
        <f t="shared" si="4"/>
        <v>-0.005271471604</v>
      </c>
      <c r="F132" s="48">
        <v>7.534</v>
      </c>
      <c r="G132" s="49">
        <f t="shared" si="1"/>
        <v>0.07534</v>
      </c>
      <c r="H132" s="50">
        <f t="shared" si="2"/>
        <v>0.0001990249827</v>
      </c>
      <c r="I132" s="51">
        <f t="shared" si="5"/>
        <v>0.0006406168647</v>
      </c>
      <c r="J132" s="53">
        <f t="shared" si="6"/>
        <v>-0.0002829843917</v>
      </c>
      <c r="K132" s="40">
        <f t="shared" si="7"/>
        <v>-0.005912088469</v>
      </c>
    </row>
    <row r="133">
      <c r="A133" s="54">
        <v>43510.0</v>
      </c>
      <c r="B133" s="11">
        <v>100.7167</v>
      </c>
      <c r="C133" s="47">
        <f t="shared" si="3"/>
        <v>0.0001857037876</v>
      </c>
      <c r="D133" s="42">
        <v>10793.65</v>
      </c>
      <c r="E133" s="11">
        <f t="shared" si="4"/>
        <v>-0.003485237365</v>
      </c>
      <c r="F133" s="48">
        <v>7.466</v>
      </c>
      <c r="G133" s="49">
        <f t="shared" si="1"/>
        <v>0.07466</v>
      </c>
      <c r="H133" s="50">
        <f t="shared" si="2"/>
        <v>0.0001972916032</v>
      </c>
      <c r="I133" s="51">
        <f t="shared" si="5"/>
        <v>-0.008709356225</v>
      </c>
      <c r="J133" s="53">
        <f t="shared" si="6"/>
        <v>0.008895060013</v>
      </c>
      <c r="K133" s="40">
        <f t="shared" si="7"/>
        <v>0.00522411886</v>
      </c>
    </row>
    <row r="134">
      <c r="A134" s="54">
        <v>43511.0</v>
      </c>
      <c r="B134" s="11">
        <v>100.721</v>
      </c>
      <c r="C134" s="47">
        <f t="shared" si="3"/>
        <v>0.00004269401202</v>
      </c>
      <c r="D134" s="42">
        <v>10746.05</v>
      </c>
      <c r="E134" s="11">
        <f t="shared" si="4"/>
        <v>-0.004410000324</v>
      </c>
      <c r="F134" s="48">
        <v>7.521</v>
      </c>
      <c r="G134" s="49">
        <f t="shared" si="1"/>
        <v>0.07521</v>
      </c>
      <c r="H134" s="50">
        <f t="shared" si="2"/>
        <v>0.0001986936858</v>
      </c>
      <c r="I134" s="51">
        <f t="shared" si="5"/>
        <v>0.007106651313</v>
      </c>
      <c r="J134" s="53">
        <f t="shared" si="6"/>
        <v>-0.007063957301</v>
      </c>
      <c r="K134" s="40">
        <f t="shared" si="7"/>
        <v>-0.01151665164</v>
      </c>
    </row>
    <row r="135">
      <c r="A135" s="54">
        <v>43514.0</v>
      </c>
      <c r="B135" s="11">
        <v>100.7777</v>
      </c>
      <c r="C135" s="47">
        <f t="shared" si="3"/>
        <v>0.000562941194</v>
      </c>
      <c r="D135" s="42">
        <v>10724.4</v>
      </c>
      <c r="E135" s="11">
        <f t="shared" si="4"/>
        <v>-0.002014693771</v>
      </c>
      <c r="F135" s="48">
        <v>7.577</v>
      </c>
      <c r="G135" s="49">
        <f t="shared" si="1"/>
        <v>0.07577</v>
      </c>
      <c r="H135" s="50">
        <f t="shared" si="2"/>
        <v>0.0002001205262</v>
      </c>
      <c r="I135" s="51">
        <f t="shared" si="5"/>
        <v>0.007181105751</v>
      </c>
      <c r="J135" s="53">
        <f t="shared" si="6"/>
        <v>-0.006618164557</v>
      </c>
      <c r="K135" s="40">
        <f t="shared" si="7"/>
        <v>-0.009195799522</v>
      </c>
    </row>
    <row r="136">
      <c r="A136" s="54">
        <v>43516.0</v>
      </c>
      <c r="B136" s="11">
        <v>100.8135</v>
      </c>
      <c r="C136" s="47">
        <f t="shared" si="3"/>
        <v>0.0003552373194</v>
      </c>
      <c r="D136" s="42">
        <v>10640.95</v>
      </c>
      <c r="E136" s="11">
        <f t="shared" si="4"/>
        <v>-0.0077813211</v>
      </c>
      <c r="F136" s="48">
        <v>7.58</v>
      </c>
      <c r="G136" s="49">
        <f t="shared" si="1"/>
        <v>0.0758</v>
      </c>
      <c r="H136" s="50">
        <f t="shared" si="2"/>
        <v>0.0002001969432</v>
      </c>
      <c r="I136" s="51">
        <f t="shared" si="5"/>
        <v>0.0003818547429</v>
      </c>
      <c r="J136" s="53">
        <f t="shared" si="6"/>
        <v>-0.00002661742351</v>
      </c>
      <c r="K136" s="40">
        <f t="shared" si="7"/>
        <v>-0.008163175842</v>
      </c>
    </row>
    <row r="137">
      <c r="A137" s="54">
        <v>43517.0</v>
      </c>
      <c r="B137" s="11">
        <v>100.832</v>
      </c>
      <c r="C137" s="47">
        <f t="shared" si="3"/>
        <v>0.0001835071692</v>
      </c>
      <c r="D137" s="42">
        <v>10735.45</v>
      </c>
      <c r="E137" s="11">
        <f t="shared" si="4"/>
        <v>0.00888078602</v>
      </c>
      <c r="F137" s="48">
        <v>7.545</v>
      </c>
      <c r="G137" s="49">
        <f t="shared" si="1"/>
        <v>0.07545</v>
      </c>
      <c r="H137" s="50">
        <f t="shared" si="2"/>
        <v>0.0001993052796</v>
      </c>
      <c r="I137" s="51">
        <f t="shared" si="5"/>
        <v>-0.004453932144</v>
      </c>
      <c r="J137" s="53">
        <f t="shared" si="6"/>
        <v>0.004637439314</v>
      </c>
      <c r="K137" s="40">
        <f t="shared" si="7"/>
        <v>0.01333471816</v>
      </c>
    </row>
    <row r="138">
      <c r="A138" s="54">
        <v>43518.0</v>
      </c>
      <c r="B138" s="11">
        <v>100.8479</v>
      </c>
      <c r="C138" s="47">
        <f t="shared" si="3"/>
        <v>0.0001576880355</v>
      </c>
      <c r="D138" s="42">
        <v>10789.85</v>
      </c>
      <c r="E138" s="11">
        <f t="shared" si="4"/>
        <v>0.00506732368</v>
      </c>
      <c r="F138" s="48">
        <v>7.544</v>
      </c>
      <c r="G138" s="49">
        <f t="shared" si="1"/>
        <v>0.07544</v>
      </c>
      <c r="H138" s="50">
        <f t="shared" si="2"/>
        <v>0.0001992797992</v>
      </c>
      <c r="I138" s="51">
        <f t="shared" si="5"/>
        <v>-0.0001278458603</v>
      </c>
      <c r="J138" s="53">
        <f t="shared" si="6"/>
        <v>0.0002855338959</v>
      </c>
      <c r="K138" s="40">
        <f t="shared" si="7"/>
        <v>0.00519516954</v>
      </c>
    </row>
    <row r="139">
      <c r="A139" s="54">
        <v>43521.0</v>
      </c>
      <c r="B139" s="11">
        <v>100.9056</v>
      </c>
      <c r="C139" s="47">
        <f t="shared" si="3"/>
        <v>0.0005721487507</v>
      </c>
      <c r="D139" s="42">
        <v>10791.65</v>
      </c>
      <c r="E139" s="11">
        <f t="shared" si="4"/>
        <v>0.0001668234498</v>
      </c>
      <c r="F139" s="48">
        <v>7.605</v>
      </c>
      <c r="G139" s="49">
        <f t="shared" si="1"/>
        <v>0.07605</v>
      </c>
      <c r="H139" s="50">
        <f t="shared" si="2"/>
        <v>0.0002008336687</v>
      </c>
      <c r="I139" s="51">
        <f t="shared" si="5"/>
        <v>0.007797425676</v>
      </c>
      <c r="J139" s="53">
        <f t="shared" si="6"/>
        <v>-0.007225276926</v>
      </c>
      <c r="K139" s="40">
        <f t="shared" si="7"/>
        <v>-0.007630602227</v>
      </c>
    </row>
    <row r="140">
      <c r="A140" s="54">
        <v>43522.0</v>
      </c>
      <c r="B140" s="11">
        <v>100.9254</v>
      </c>
      <c r="C140" s="47">
        <f t="shared" si="3"/>
        <v>0.0001962230045</v>
      </c>
      <c r="D140" s="42">
        <v>10880.1</v>
      </c>
      <c r="E140" s="11">
        <f t="shared" si="4"/>
        <v>0.008196151654</v>
      </c>
      <c r="F140" s="48">
        <v>7.584</v>
      </c>
      <c r="G140" s="49">
        <f t="shared" si="1"/>
        <v>0.07584</v>
      </c>
      <c r="H140" s="50">
        <f t="shared" si="2"/>
        <v>0.0002002988292</v>
      </c>
      <c r="I140" s="51">
        <f t="shared" si="5"/>
        <v>-0.002663096687</v>
      </c>
      <c r="J140" s="53">
        <f t="shared" si="6"/>
        <v>0.002859319691</v>
      </c>
      <c r="K140" s="40">
        <f t="shared" si="7"/>
        <v>0.01085924834</v>
      </c>
    </row>
    <row r="141">
      <c r="A141" s="54">
        <v>43523.0</v>
      </c>
      <c r="B141" s="11">
        <v>100.94</v>
      </c>
      <c r="C141" s="47">
        <f t="shared" si="3"/>
        <v>0.0001446613043</v>
      </c>
      <c r="D141" s="42">
        <v>10835.3</v>
      </c>
      <c r="E141" s="11">
        <f t="shared" si="4"/>
        <v>-0.004117609213</v>
      </c>
      <c r="F141" s="48">
        <v>7.587</v>
      </c>
      <c r="G141" s="49">
        <f t="shared" si="1"/>
        <v>0.07587</v>
      </c>
      <c r="H141" s="50">
        <f t="shared" si="2"/>
        <v>0.0002003752412</v>
      </c>
      <c r="I141" s="51">
        <f t="shared" si="5"/>
        <v>0.0003814900662</v>
      </c>
      <c r="J141" s="53">
        <f t="shared" si="6"/>
        <v>-0.0002368287619</v>
      </c>
      <c r="K141" s="40">
        <f t="shared" si="7"/>
        <v>-0.004499099279</v>
      </c>
    </row>
    <row r="142">
      <c r="A142" s="54">
        <v>43524.0</v>
      </c>
      <c r="B142" s="11">
        <v>100.3953</v>
      </c>
      <c r="C142" s="47">
        <f t="shared" si="3"/>
        <v>-0.005396275015</v>
      </c>
      <c r="D142" s="42">
        <v>10806.65</v>
      </c>
      <c r="E142" s="11">
        <f t="shared" si="4"/>
        <v>-0.002644135372</v>
      </c>
      <c r="F142" s="48">
        <v>7.672</v>
      </c>
      <c r="G142" s="49">
        <f t="shared" si="1"/>
        <v>0.07672</v>
      </c>
      <c r="H142" s="50">
        <f t="shared" si="2"/>
        <v>0.0002025393657</v>
      </c>
      <c r="I142" s="51">
        <f t="shared" si="5"/>
        <v>0.01080035886</v>
      </c>
      <c r="J142" s="53">
        <f t="shared" si="6"/>
        <v>-0.01619663388</v>
      </c>
      <c r="K142" s="40">
        <f t="shared" si="7"/>
        <v>-0.01344449423</v>
      </c>
    </row>
    <row r="143">
      <c r="A143" s="46">
        <v>43525.0</v>
      </c>
      <c r="B143" s="11">
        <v>100.4203</v>
      </c>
      <c r="C143" s="47">
        <f t="shared" si="3"/>
        <v>0.0002490156412</v>
      </c>
      <c r="D143" s="42">
        <v>10792.5</v>
      </c>
      <c r="E143" s="11">
        <f t="shared" si="4"/>
        <v>-0.001309378947</v>
      </c>
      <c r="F143" s="48">
        <v>7.591</v>
      </c>
      <c r="G143" s="49">
        <f t="shared" si="1"/>
        <v>0.07591</v>
      </c>
      <c r="H143" s="50">
        <f t="shared" si="2"/>
        <v>0.0002004771206</v>
      </c>
      <c r="I143" s="51">
        <f t="shared" si="5"/>
        <v>-0.01018194722</v>
      </c>
      <c r="J143" s="53">
        <f t="shared" si="6"/>
        <v>0.01043096287</v>
      </c>
      <c r="K143" s="40">
        <f t="shared" si="7"/>
        <v>0.008872568277</v>
      </c>
    </row>
    <row r="144">
      <c r="A144" s="46">
        <v>43529.0</v>
      </c>
      <c r="B144" s="11">
        <v>100.5006</v>
      </c>
      <c r="C144" s="47">
        <f t="shared" si="3"/>
        <v>0.0007996391168</v>
      </c>
      <c r="D144" s="42">
        <v>10863.5</v>
      </c>
      <c r="E144" s="11">
        <f t="shared" si="4"/>
        <v>0.006578642576</v>
      </c>
      <c r="F144" s="48">
        <v>7.556</v>
      </c>
      <c r="G144" s="49">
        <f t="shared" si="1"/>
        <v>0.07556</v>
      </c>
      <c r="H144" s="50">
        <f t="shared" si="2"/>
        <v>0.0001995855479</v>
      </c>
      <c r="I144" s="51">
        <f t="shared" si="5"/>
        <v>-0.004447253981</v>
      </c>
      <c r="J144" s="53">
        <f t="shared" si="6"/>
        <v>0.005246893098</v>
      </c>
      <c r="K144" s="40">
        <f t="shared" si="7"/>
        <v>0.01102589656</v>
      </c>
    </row>
    <row r="145">
      <c r="A145" s="46">
        <v>43530.0</v>
      </c>
      <c r="B145" s="11">
        <v>100.5263</v>
      </c>
      <c r="C145" s="47">
        <f t="shared" si="3"/>
        <v>0.0002557198663</v>
      </c>
      <c r="D145" s="42">
        <v>10987.45</v>
      </c>
      <c r="E145" s="11">
        <f t="shared" si="4"/>
        <v>0.01140976665</v>
      </c>
      <c r="F145" s="48">
        <v>7.556</v>
      </c>
      <c r="G145" s="49">
        <f t="shared" si="1"/>
        <v>0.07556</v>
      </c>
      <c r="H145" s="50">
        <f t="shared" si="2"/>
        <v>0.0001995855479</v>
      </c>
      <c r="I145" s="51">
        <f t="shared" si="5"/>
        <v>0</v>
      </c>
      <c r="J145" s="53">
        <f t="shared" si="6"/>
        <v>0.0002557198663</v>
      </c>
      <c r="K145" s="40">
        <f t="shared" si="7"/>
        <v>0.01140976665</v>
      </c>
    </row>
    <row r="146">
      <c r="A146" s="46">
        <v>43531.0</v>
      </c>
      <c r="B146" s="11">
        <v>100.5458</v>
      </c>
      <c r="C146" s="47">
        <f t="shared" si="3"/>
        <v>0.0001939790881</v>
      </c>
      <c r="D146" s="42">
        <v>11053.0</v>
      </c>
      <c r="E146" s="11">
        <f t="shared" si="4"/>
        <v>0.005965897456</v>
      </c>
      <c r="F146" s="48">
        <v>7.572</v>
      </c>
      <c r="G146" s="49">
        <f t="shared" si="1"/>
        <v>0.07572</v>
      </c>
      <c r="H146" s="50">
        <f t="shared" si="2"/>
        <v>0.0001999931599</v>
      </c>
      <c r="I146" s="51">
        <f t="shared" si="5"/>
        <v>0.002042292033</v>
      </c>
      <c r="J146" s="53">
        <f t="shared" si="6"/>
        <v>-0.001848312945</v>
      </c>
      <c r="K146" s="40">
        <f t="shared" si="7"/>
        <v>0.003923605423</v>
      </c>
    </row>
    <row r="147">
      <c r="A147" s="46">
        <v>43532.0</v>
      </c>
      <c r="B147" s="11">
        <v>100.573</v>
      </c>
      <c r="C147" s="47">
        <f t="shared" si="3"/>
        <v>0.0002705234828</v>
      </c>
      <c r="D147" s="42">
        <v>11058.2</v>
      </c>
      <c r="E147" s="11">
        <f t="shared" si="4"/>
        <v>0.0004704605085</v>
      </c>
      <c r="F147" s="48">
        <v>7.58</v>
      </c>
      <c r="G147" s="49">
        <f t="shared" si="1"/>
        <v>0.0758</v>
      </c>
      <c r="H147" s="50">
        <f t="shared" si="2"/>
        <v>0.0002001969432</v>
      </c>
      <c r="I147" s="51">
        <f t="shared" si="5"/>
        <v>0.001018951423</v>
      </c>
      <c r="J147" s="53">
        <f t="shared" si="6"/>
        <v>-0.0007484279404</v>
      </c>
      <c r="K147" s="40">
        <f t="shared" si="7"/>
        <v>-0.0005484909148</v>
      </c>
    </row>
    <row r="148">
      <c r="A148" s="54">
        <v>43535.0</v>
      </c>
      <c r="B148" s="11">
        <v>100.6353</v>
      </c>
      <c r="C148" s="47">
        <f t="shared" si="3"/>
        <v>0.0006194505484</v>
      </c>
      <c r="D148" s="42">
        <v>11035.4</v>
      </c>
      <c r="E148" s="11">
        <f t="shared" si="4"/>
        <v>-0.002061818379</v>
      </c>
      <c r="F148" s="48">
        <v>7.532</v>
      </c>
      <c r="G148" s="49">
        <f t="shared" si="1"/>
        <v>0.07532</v>
      </c>
      <c r="H148" s="50">
        <f t="shared" si="2"/>
        <v>0.0001989740165</v>
      </c>
      <c r="I148" s="51">
        <f t="shared" si="5"/>
        <v>-0.006108617977</v>
      </c>
      <c r="J148" s="53">
        <f t="shared" si="6"/>
        <v>0.006728068526</v>
      </c>
      <c r="K148" s="40">
        <f t="shared" si="7"/>
        <v>0.004046799598</v>
      </c>
    </row>
    <row r="149">
      <c r="A149" s="54">
        <v>43536.0</v>
      </c>
      <c r="B149" s="11">
        <v>100.665</v>
      </c>
      <c r="C149" s="47">
        <f t="shared" si="3"/>
        <v>0.0002951250704</v>
      </c>
      <c r="D149" s="42">
        <v>11168.05</v>
      </c>
      <c r="E149" s="11">
        <f t="shared" si="4"/>
        <v>0.01202040705</v>
      </c>
      <c r="F149" s="48">
        <v>7.512</v>
      </c>
      <c r="G149" s="49">
        <f t="shared" si="1"/>
        <v>0.07512</v>
      </c>
      <c r="H149" s="50">
        <f t="shared" si="2"/>
        <v>0.0001984643031</v>
      </c>
      <c r="I149" s="51">
        <f t="shared" si="5"/>
        <v>-0.002561708597</v>
      </c>
      <c r="J149" s="53">
        <f t="shared" si="6"/>
        <v>0.002856833668</v>
      </c>
      <c r="K149" s="40">
        <f t="shared" si="7"/>
        <v>0.01458211565</v>
      </c>
    </row>
    <row r="150">
      <c r="A150" s="54">
        <v>43537.0</v>
      </c>
      <c r="B150" s="11">
        <v>100.6988</v>
      </c>
      <c r="C150" s="47">
        <f t="shared" si="3"/>
        <v>0.0003357671485</v>
      </c>
      <c r="D150" s="42">
        <v>11301.2</v>
      </c>
      <c r="E150" s="11">
        <f t="shared" si="4"/>
        <v>0.01192240364</v>
      </c>
      <c r="F150" s="48">
        <v>7.513</v>
      </c>
      <c r="G150" s="49">
        <f t="shared" si="1"/>
        <v>0.07513</v>
      </c>
      <c r="H150" s="50">
        <f t="shared" si="2"/>
        <v>0.000198489791</v>
      </c>
      <c r="I150" s="51">
        <f t="shared" si="5"/>
        <v>0.0001284257059</v>
      </c>
      <c r="J150" s="53">
        <f t="shared" si="6"/>
        <v>0.0002073414426</v>
      </c>
      <c r="K150" s="40">
        <f t="shared" si="7"/>
        <v>0.01179397794</v>
      </c>
    </row>
    <row r="151">
      <c r="A151" s="54">
        <v>43538.0</v>
      </c>
      <c r="B151" s="11">
        <v>100.7833</v>
      </c>
      <c r="C151" s="47">
        <f t="shared" si="3"/>
        <v>0.0008391361168</v>
      </c>
      <c r="D151" s="42">
        <v>11341.7</v>
      </c>
      <c r="E151" s="11">
        <f t="shared" si="4"/>
        <v>0.003583690228</v>
      </c>
      <c r="F151" s="48">
        <v>7.548</v>
      </c>
      <c r="G151" s="49">
        <f t="shared" si="1"/>
        <v>0.07548</v>
      </c>
      <c r="H151" s="50">
        <f t="shared" si="2"/>
        <v>0.0001993817192</v>
      </c>
      <c r="I151" s="51">
        <f t="shared" si="5"/>
        <v>0.004493572284</v>
      </c>
      <c r="J151" s="53">
        <f t="shared" si="6"/>
        <v>-0.003654436167</v>
      </c>
      <c r="K151" s="40">
        <f t="shared" si="7"/>
        <v>-0.0009098820561</v>
      </c>
    </row>
    <row r="152">
      <c r="A152" s="54">
        <v>43539.0</v>
      </c>
      <c r="B152" s="11">
        <v>100.8114</v>
      </c>
      <c r="C152" s="47">
        <f t="shared" si="3"/>
        <v>0.000278816034</v>
      </c>
      <c r="D152" s="42">
        <v>11343.25</v>
      </c>
      <c r="E152" s="11">
        <f t="shared" si="4"/>
        <v>0.0001366638158</v>
      </c>
      <c r="F152" s="48">
        <v>7.553</v>
      </c>
      <c r="G152" s="49">
        <f t="shared" si="1"/>
        <v>0.07553</v>
      </c>
      <c r="H152" s="50">
        <f t="shared" si="2"/>
        <v>0.0001995091139</v>
      </c>
      <c r="I152" s="51">
        <f t="shared" si="5"/>
        <v>0.0006389486824</v>
      </c>
      <c r="J152" s="53">
        <f t="shared" si="6"/>
        <v>-0.0003601326484</v>
      </c>
      <c r="K152" s="40">
        <f t="shared" si="7"/>
        <v>-0.0005022848666</v>
      </c>
    </row>
    <row r="153">
      <c r="A153" s="54">
        <v>43542.0</v>
      </c>
      <c r="B153" s="11">
        <v>100.878</v>
      </c>
      <c r="C153" s="47">
        <f t="shared" si="3"/>
        <v>0.0006606395705</v>
      </c>
      <c r="D153" s="42">
        <v>11426.85</v>
      </c>
      <c r="E153" s="11">
        <f t="shared" si="4"/>
        <v>0.007370021819</v>
      </c>
      <c r="F153" s="48">
        <v>7.502</v>
      </c>
      <c r="G153" s="49">
        <f t="shared" si="1"/>
        <v>0.07502</v>
      </c>
      <c r="H153" s="50">
        <f t="shared" si="2"/>
        <v>0.0001982094109</v>
      </c>
      <c r="I153" s="51">
        <f t="shared" si="5"/>
        <v>-0.006514504467</v>
      </c>
      <c r="J153" s="53">
        <f t="shared" si="6"/>
        <v>0.007175144038</v>
      </c>
      <c r="K153" s="40">
        <f t="shared" si="7"/>
        <v>0.01388452629</v>
      </c>
    </row>
    <row r="154">
      <c r="A154" s="54">
        <v>43543.0</v>
      </c>
      <c r="B154" s="11">
        <v>100.9077</v>
      </c>
      <c r="C154" s="47">
        <f t="shared" si="3"/>
        <v>0.000294415036</v>
      </c>
      <c r="D154" s="42">
        <v>11462.2</v>
      </c>
      <c r="E154" s="11">
        <f t="shared" si="4"/>
        <v>0.003093590972</v>
      </c>
      <c r="F154" s="48">
        <v>7.48</v>
      </c>
      <c r="G154" s="49">
        <f t="shared" si="1"/>
        <v>0.0748</v>
      </c>
      <c r="H154" s="50">
        <f t="shared" si="2"/>
        <v>0.0001976485649</v>
      </c>
      <c r="I154" s="51">
        <f t="shared" si="5"/>
        <v>-0.002829563176</v>
      </c>
      <c r="J154" s="53">
        <f t="shared" si="6"/>
        <v>0.003123978212</v>
      </c>
      <c r="K154" s="40">
        <f t="shared" si="7"/>
        <v>0.005923154148</v>
      </c>
    </row>
    <row r="155">
      <c r="A155" s="54">
        <v>43544.0</v>
      </c>
      <c r="B155" s="11">
        <v>100.9007</v>
      </c>
      <c r="C155" s="47">
        <f t="shared" si="3"/>
        <v>-0.00006937032555</v>
      </c>
      <c r="D155" s="42">
        <v>11532.4</v>
      </c>
      <c r="E155" s="11">
        <f t="shared" si="4"/>
        <v>0.006124478721</v>
      </c>
      <c r="F155" s="48">
        <v>7.536</v>
      </c>
      <c r="G155" s="49">
        <f t="shared" si="1"/>
        <v>0.07536</v>
      </c>
      <c r="H155" s="50">
        <f t="shared" si="2"/>
        <v>0.0001990759479</v>
      </c>
      <c r="I155" s="51">
        <f t="shared" si="5"/>
        <v>0.007221823391</v>
      </c>
      <c r="J155" s="53">
        <f t="shared" si="6"/>
        <v>-0.007291193716</v>
      </c>
      <c r="K155" s="40">
        <f t="shared" si="7"/>
        <v>-0.00109734467</v>
      </c>
    </row>
    <row r="156">
      <c r="A156" s="54">
        <v>43546.0</v>
      </c>
      <c r="B156" s="11">
        <v>100.9276</v>
      </c>
      <c r="C156" s="47">
        <f t="shared" si="3"/>
        <v>0.0002665987451</v>
      </c>
      <c r="D156" s="42">
        <v>11521.05</v>
      </c>
      <c r="E156" s="11">
        <f t="shared" si="4"/>
        <v>-0.0009841836912</v>
      </c>
      <c r="F156" s="48">
        <v>7.517</v>
      </c>
      <c r="G156" s="49">
        <f t="shared" si="1"/>
        <v>0.07517</v>
      </c>
      <c r="H156" s="50">
        <f t="shared" si="2"/>
        <v>0.0001985917403</v>
      </c>
      <c r="I156" s="51">
        <f t="shared" si="5"/>
        <v>-0.00243227558</v>
      </c>
      <c r="J156" s="53">
        <f t="shared" si="6"/>
        <v>0.002698874326</v>
      </c>
      <c r="K156" s="40">
        <f t="shared" si="7"/>
        <v>0.001448091889</v>
      </c>
    </row>
    <row r="157">
      <c r="A157" s="54">
        <v>43549.0</v>
      </c>
      <c r="B157" s="11">
        <v>100.9903</v>
      </c>
      <c r="C157" s="47">
        <f t="shared" si="3"/>
        <v>0.0006212374019</v>
      </c>
      <c r="D157" s="42">
        <v>11456.9</v>
      </c>
      <c r="E157" s="11">
        <f t="shared" si="4"/>
        <v>-0.005568068883</v>
      </c>
      <c r="F157" s="48">
        <v>7.504</v>
      </c>
      <c r="G157" s="49">
        <f t="shared" si="1"/>
        <v>0.07504</v>
      </c>
      <c r="H157" s="50">
        <f t="shared" si="2"/>
        <v>0.0001982603912</v>
      </c>
      <c r="I157" s="51">
        <f t="shared" si="5"/>
        <v>-0.001668493779</v>
      </c>
      <c r="J157" s="53">
        <f t="shared" si="6"/>
        <v>0.002289731181</v>
      </c>
      <c r="K157" s="40">
        <f t="shared" si="7"/>
        <v>-0.003899575104</v>
      </c>
    </row>
    <row r="158">
      <c r="A158" s="54">
        <v>43550.0</v>
      </c>
      <c r="B158" s="11">
        <v>101.0126</v>
      </c>
      <c r="C158" s="47">
        <f t="shared" si="3"/>
        <v>0.000220813286</v>
      </c>
      <c r="D158" s="42">
        <v>11354.25</v>
      </c>
      <c r="E158" s="11">
        <f t="shared" si="4"/>
        <v>-0.008959666227</v>
      </c>
      <c r="F158" s="48">
        <v>7.471</v>
      </c>
      <c r="G158" s="49">
        <f t="shared" si="1"/>
        <v>0.07471</v>
      </c>
      <c r="H158" s="50">
        <f t="shared" si="2"/>
        <v>0.0001974190948</v>
      </c>
      <c r="I158" s="51">
        <f t="shared" si="5"/>
        <v>-0.004243391188</v>
      </c>
      <c r="J158" s="53">
        <f t="shared" si="6"/>
        <v>0.004464204475</v>
      </c>
      <c r="K158" s="40">
        <f t="shared" si="7"/>
        <v>-0.004716275039</v>
      </c>
    </row>
    <row r="159">
      <c r="A159" s="54">
        <v>43551.0</v>
      </c>
      <c r="B159" s="11">
        <v>101.0359</v>
      </c>
      <c r="C159" s="47">
        <f t="shared" si="3"/>
        <v>0.0002306642934</v>
      </c>
      <c r="D159" s="42">
        <v>11483.25</v>
      </c>
      <c r="E159" s="11">
        <f t="shared" si="4"/>
        <v>0.0113613845</v>
      </c>
      <c r="F159" s="48">
        <v>7.342</v>
      </c>
      <c r="G159" s="49">
        <f t="shared" si="1"/>
        <v>0.07342</v>
      </c>
      <c r="H159" s="50">
        <f t="shared" si="2"/>
        <v>0.000194127917</v>
      </c>
      <c r="I159" s="51">
        <f t="shared" si="5"/>
        <v>-0.01667102075</v>
      </c>
      <c r="J159" s="53">
        <f t="shared" si="6"/>
        <v>0.01690168504</v>
      </c>
      <c r="K159" s="40">
        <f t="shared" si="7"/>
        <v>0.02803240525</v>
      </c>
    </row>
    <row r="160">
      <c r="A160" s="54">
        <v>43552.0</v>
      </c>
      <c r="B160" s="11">
        <v>100.3991</v>
      </c>
      <c r="C160" s="47">
        <f t="shared" si="3"/>
        <v>-0.006302710225</v>
      </c>
      <c r="D160" s="42">
        <v>11445.05</v>
      </c>
      <c r="E160" s="11">
        <f t="shared" si="4"/>
        <v>-0.003326584373</v>
      </c>
      <c r="F160" s="48">
        <v>7.327</v>
      </c>
      <c r="G160" s="49">
        <f t="shared" si="1"/>
        <v>0.07327</v>
      </c>
      <c r="H160" s="50">
        <f t="shared" si="2"/>
        <v>0.000193744966</v>
      </c>
      <c r="I160" s="51">
        <f t="shared" si="5"/>
        <v>-0.001972673817</v>
      </c>
      <c r="J160" s="53">
        <f t="shared" si="6"/>
        <v>-0.004330036408</v>
      </c>
      <c r="K160" s="40">
        <f t="shared" si="7"/>
        <v>-0.001353910556</v>
      </c>
    </row>
    <row r="161">
      <c r="A161" s="54">
        <v>43553.0</v>
      </c>
      <c r="B161" s="11">
        <v>100.5526</v>
      </c>
      <c r="C161" s="47">
        <f t="shared" si="3"/>
        <v>0.001528898167</v>
      </c>
      <c r="D161" s="42">
        <v>11570.0</v>
      </c>
      <c r="E161" s="11">
        <f t="shared" si="4"/>
        <v>0.0109173835</v>
      </c>
      <c r="F161" s="48">
        <v>7.323</v>
      </c>
      <c r="G161" s="49">
        <f t="shared" si="1"/>
        <v>0.07323</v>
      </c>
      <c r="H161" s="50">
        <f t="shared" si="2"/>
        <v>0.0001936428367</v>
      </c>
      <c r="I161" s="51">
        <f t="shared" si="5"/>
        <v>-0.0005271326473</v>
      </c>
      <c r="J161" s="53">
        <f t="shared" si="6"/>
        <v>0.002056030815</v>
      </c>
      <c r="K161" s="40">
        <f t="shared" si="7"/>
        <v>0.01144451614</v>
      </c>
    </row>
    <row r="162">
      <c r="A162" s="46">
        <v>43557.0</v>
      </c>
      <c r="B162" s="11">
        <v>100.703</v>
      </c>
      <c r="C162" s="47">
        <f t="shared" si="3"/>
        <v>0.001495734571</v>
      </c>
      <c r="D162" s="42">
        <v>11623.9</v>
      </c>
      <c r="E162" s="11">
        <f t="shared" si="4"/>
        <v>0.004658599827</v>
      </c>
      <c r="F162" s="48">
        <v>7.346</v>
      </c>
      <c r="G162" s="49">
        <f t="shared" si="1"/>
        <v>0.07346</v>
      </c>
      <c r="H162" s="50">
        <f t="shared" si="2"/>
        <v>0.0001942300283</v>
      </c>
      <c r="I162" s="51">
        <f t="shared" si="5"/>
        <v>0.003032343646</v>
      </c>
      <c r="J162" s="53">
        <f t="shared" si="6"/>
        <v>-0.001536609075</v>
      </c>
      <c r="K162" s="40">
        <f t="shared" si="7"/>
        <v>0.001626256181</v>
      </c>
    </row>
    <row r="163">
      <c r="A163" s="46">
        <v>43558.0</v>
      </c>
      <c r="B163" s="11">
        <v>100.7206</v>
      </c>
      <c r="C163" s="47">
        <f t="shared" si="3"/>
        <v>0.0001747713574</v>
      </c>
      <c r="D163" s="42">
        <v>11713.2</v>
      </c>
      <c r="E163" s="11">
        <f t="shared" si="4"/>
        <v>0.007682447371</v>
      </c>
      <c r="F163" s="48">
        <v>7.272</v>
      </c>
      <c r="G163" s="49">
        <f t="shared" si="1"/>
        <v>0.07272</v>
      </c>
      <c r="H163" s="50">
        <f t="shared" si="2"/>
        <v>0.0001923403553</v>
      </c>
      <c r="I163" s="51">
        <f t="shared" si="5"/>
        <v>-0.009729046653</v>
      </c>
      <c r="J163" s="53">
        <f t="shared" si="6"/>
        <v>0.00990381801</v>
      </c>
      <c r="K163" s="40">
        <f t="shared" si="7"/>
        <v>0.01741149402</v>
      </c>
    </row>
    <row r="164">
      <c r="A164" s="46">
        <v>43559.0</v>
      </c>
      <c r="B164" s="11">
        <v>100.7378</v>
      </c>
      <c r="C164" s="47">
        <f t="shared" si="3"/>
        <v>0.0001707694354</v>
      </c>
      <c r="D164" s="42">
        <v>11643.95</v>
      </c>
      <c r="E164" s="11">
        <f t="shared" si="4"/>
        <v>-0.00591213332</v>
      </c>
      <c r="F164" s="48">
        <v>7.271</v>
      </c>
      <c r="G164" s="49">
        <f t="shared" si="1"/>
        <v>0.07271</v>
      </c>
      <c r="H164" s="50">
        <f t="shared" si="2"/>
        <v>0.0001923148103</v>
      </c>
      <c r="I164" s="51">
        <f t="shared" si="5"/>
        <v>-0.0001328115618</v>
      </c>
      <c r="J164" s="53">
        <f t="shared" si="6"/>
        <v>0.0003035809973</v>
      </c>
      <c r="K164" s="40">
        <f t="shared" si="7"/>
        <v>-0.005779321758</v>
      </c>
    </row>
    <row r="165">
      <c r="A165" s="46">
        <v>43560.0</v>
      </c>
      <c r="B165" s="11">
        <v>100.7558</v>
      </c>
      <c r="C165" s="47">
        <f t="shared" si="3"/>
        <v>0.0001786816865</v>
      </c>
      <c r="D165" s="42">
        <v>11598.0</v>
      </c>
      <c r="E165" s="11">
        <f t="shared" si="4"/>
        <v>-0.003946255351</v>
      </c>
      <c r="F165" s="48">
        <v>7.348</v>
      </c>
      <c r="G165" s="49">
        <f t="shared" si="1"/>
        <v>0.07348</v>
      </c>
      <c r="H165" s="50">
        <f t="shared" si="2"/>
        <v>0.0001942810825</v>
      </c>
      <c r="I165" s="51">
        <f t="shared" si="5"/>
        <v>0.01022423722</v>
      </c>
      <c r="J165" s="53">
        <f t="shared" si="6"/>
        <v>-0.01004555553</v>
      </c>
      <c r="K165" s="40">
        <f t="shared" si="7"/>
        <v>-0.01417049257</v>
      </c>
    </row>
    <row r="166">
      <c r="A166" s="46">
        <v>43563.0</v>
      </c>
      <c r="B166" s="11">
        <v>100.7944</v>
      </c>
      <c r="C166" s="47">
        <f t="shared" si="3"/>
        <v>0.0003831044962</v>
      </c>
      <c r="D166" s="42">
        <v>11665.95</v>
      </c>
      <c r="E166" s="11">
        <f t="shared" si="4"/>
        <v>0.005858768753</v>
      </c>
      <c r="F166" s="48">
        <v>7.353</v>
      </c>
      <c r="G166" s="49">
        <f t="shared" si="1"/>
        <v>0.07353</v>
      </c>
      <c r="H166" s="50">
        <f t="shared" si="2"/>
        <v>0.0001944087139</v>
      </c>
      <c r="I166" s="51">
        <f t="shared" si="5"/>
        <v>0.0006569418794</v>
      </c>
      <c r="J166" s="53">
        <f t="shared" si="6"/>
        <v>-0.0002738373832</v>
      </c>
      <c r="K166" s="40">
        <f t="shared" si="7"/>
        <v>0.005201826874</v>
      </c>
    </row>
    <row r="167">
      <c r="A167" s="46">
        <v>43564.0</v>
      </c>
      <c r="B167" s="11">
        <v>100.7954</v>
      </c>
      <c r="C167" s="47">
        <f t="shared" si="3"/>
        <v>0.000009921186098</v>
      </c>
      <c r="D167" s="42">
        <v>11604.5</v>
      </c>
      <c r="E167" s="11">
        <f t="shared" si="4"/>
        <v>-0.00526746643</v>
      </c>
      <c r="F167" s="48">
        <v>7.4</v>
      </c>
      <c r="G167" s="49">
        <f t="shared" si="1"/>
        <v>0.074</v>
      </c>
      <c r="H167" s="50">
        <f t="shared" si="2"/>
        <v>0.0001956081592</v>
      </c>
      <c r="I167" s="51">
        <f t="shared" si="5"/>
        <v>0.00616970945</v>
      </c>
      <c r="J167" s="53">
        <f t="shared" si="6"/>
        <v>-0.006159788264</v>
      </c>
      <c r="K167" s="40">
        <f t="shared" si="7"/>
        <v>-0.01143717588</v>
      </c>
    </row>
    <row r="168">
      <c r="A168" s="54">
        <v>43565.0</v>
      </c>
      <c r="B168" s="11">
        <v>100.8056</v>
      </c>
      <c r="C168" s="47">
        <f t="shared" si="3"/>
        <v>0.0001011950942</v>
      </c>
      <c r="D168" s="42">
        <v>11671.95</v>
      </c>
      <c r="E168" s="11">
        <f t="shared" si="4"/>
        <v>0.005812400362</v>
      </c>
      <c r="F168" s="48">
        <v>7.374</v>
      </c>
      <c r="G168" s="49">
        <f t="shared" si="1"/>
        <v>0.07374</v>
      </c>
      <c r="H168" s="50">
        <f t="shared" si="2"/>
        <v>0.0001949447009</v>
      </c>
      <c r="I168" s="51">
        <f t="shared" si="5"/>
        <v>-0.003391771673</v>
      </c>
      <c r="J168" s="53">
        <f t="shared" si="6"/>
        <v>0.003492966767</v>
      </c>
      <c r="K168" s="40">
        <f t="shared" si="7"/>
        <v>0.009204172035</v>
      </c>
    </row>
    <row r="169">
      <c r="A169" s="54">
        <v>43566.0</v>
      </c>
      <c r="B169" s="11">
        <v>100.815</v>
      </c>
      <c r="C169" s="47">
        <f t="shared" si="3"/>
        <v>0.00009324878777</v>
      </c>
      <c r="D169" s="42">
        <v>11584.3</v>
      </c>
      <c r="E169" s="11">
        <f t="shared" si="4"/>
        <v>-0.007509456432</v>
      </c>
      <c r="F169" s="48">
        <v>7.367</v>
      </c>
      <c r="G169" s="49">
        <f t="shared" si="1"/>
        <v>0.07367</v>
      </c>
      <c r="H169" s="50">
        <f t="shared" si="2"/>
        <v>0.0001947660502</v>
      </c>
      <c r="I169" s="51">
        <f t="shared" si="5"/>
        <v>-0.0009164175174</v>
      </c>
      <c r="J169" s="53">
        <f t="shared" si="6"/>
        <v>0.001009666305</v>
      </c>
      <c r="K169" s="40">
        <f t="shared" si="7"/>
        <v>-0.006593038914</v>
      </c>
    </row>
    <row r="170">
      <c r="A170" s="54">
        <v>43567.0</v>
      </c>
      <c r="B170" s="11">
        <v>100.8279</v>
      </c>
      <c r="C170" s="47">
        <f t="shared" si="3"/>
        <v>0.0001279571492</v>
      </c>
      <c r="D170" s="42">
        <v>11596.7</v>
      </c>
      <c r="E170" s="11">
        <f t="shared" si="4"/>
        <v>0.001070414268</v>
      </c>
      <c r="F170" s="48">
        <v>7.371</v>
      </c>
      <c r="G170" s="49">
        <f t="shared" si="1"/>
        <v>0.07371</v>
      </c>
      <c r="H170" s="50">
        <f t="shared" si="2"/>
        <v>0.0001948681378</v>
      </c>
      <c r="I170" s="51">
        <f t="shared" si="5"/>
        <v>0.0005241547925</v>
      </c>
      <c r="J170" s="53">
        <f t="shared" si="6"/>
        <v>-0.0003961976433</v>
      </c>
      <c r="K170" s="40">
        <f t="shared" si="7"/>
        <v>0.0005462594751</v>
      </c>
    </row>
    <row r="171">
      <c r="A171" s="54">
        <v>43570.0</v>
      </c>
      <c r="B171" s="11">
        <v>100.8743</v>
      </c>
      <c r="C171" s="47">
        <f t="shared" si="3"/>
        <v>0.0004601900863</v>
      </c>
      <c r="D171" s="42">
        <v>11643.45</v>
      </c>
      <c r="E171" s="11">
        <f t="shared" si="4"/>
        <v>0.004031319255</v>
      </c>
      <c r="F171" s="48">
        <v>7.409</v>
      </c>
      <c r="G171" s="49">
        <f t="shared" si="1"/>
        <v>0.07409</v>
      </c>
      <c r="H171" s="50">
        <f t="shared" si="2"/>
        <v>0.0001958377805</v>
      </c>
      <c r="I171" s="51">
        <f t="shared" si="5"/>
        <v>0.004975891385</v>
      </c>
      <c r="J171" s="53">
        <f t="shared" si="6"/>
        <v>-0.004515701299</v>
      </c>
      <c r="K171" s="40">
        <f t="shared" si="7"/>
        <v>-0.0009445721305</v>
      </c>
    </row>
    <row r="172">
      <c r="A172" s="54">
        <v>43571.0</v>
      </c>
      <c r="B172" s="11">
        <v>100.882</v>
      </c>
      <c r="C172" s="47">
        <f t="shared" si="3"/>
        <v>0.00007633262387</v>
      </c>
      <c r="D172" s="42">
        <v>11690.35</v>
      </c>
      <c r="E172" s="11">
        <f t="shared" si="4"/>
        <v>0.004028015751</v>
      </c>
      <c r="F172" s="48">
        <v>7.392</v>
      </c>
      <c r="G172" s="49">
        <f t="shared" si="1"/>
        <v>0.07392</v>
      </c>
      <c r="H172" s="50">
        <f t="shared" si="2"/>
        <v>0.0001954040352</v>
      </c>
      <c r="I172" s="51">
        <f t="shared" si="5"/>
        <v>-0.002214818921</v>
      </c>
      <c r="J172" s="53">
        <f t="shared" si="6"/>
        <v>0.002291151545</v>
      </c>
      <c r="K172" s="40">
        <f t="shared" si="7"/>
        <v>0.006242834672</v>
      </c>
    </row>
    <row r="173">
      <c r="A173" s="54">
        <v>43573.0</v>
      </c>
      <c r="B173" s="11">
        <v>100.9203</v>
      </c>
      <c r="C173" s="47">
        <f t="shared" si="3"/>
        <v>0.000379651474</v>
      </c>
      <c r="D173" s="42">
        <v>11787.15</v>
      </c>
      <c r="E173" s="11">
        <f t="shared" si="4"/>
        <v>0.00828033378</v>
      </c>
      <c r="F173" s="48">
        <v>7.39</v>
      </c>
      <c r="G173" s="49">
        <f t="shared" si="1"/>
        <v>0.0739</v>
      </c>
      <c r="H173" s="50">
        <f t="shared" si="2"/>
        <v>0.0001953530019</v>
      </c>
      <c r="I173" s="51">
        <f t="shared" si="5"/>
        <v>-0.0002611683595</v>
      </c>
      <c r="J173" s="53">
        <f t="shared" si="6"/>
        <v>0.0006408198335</v>
      </c>
      <c r="K173" s="40">
        <f t="shared" si="7"/>
        <v>0.008541502139</v>
      </c>
    </row>
    <row r="174">
      <c r="A174" s="54">
        <v>43577.0</v>
      </c>
      <c r="B174" s="11">
        <v>100.9915</v>
      </c>
      <c r="C174" s="47">
        <f t="shared" si="3"/>
        <v>0.0007055072171</v>
      </c>
      <c r="D174" s="42">
        <v>11752.8</v>
      </c>
      <c r="E174" s="11">
        <f t="shared" si="4"/>
        <v>-0.002914190453</v>
      </c>
      <c r="F174" s="48">
        <v>7.42</v>
      </c>
      <c r="G174" s="49">
        <f t="shared" si="1"/>
        <v>0.0742</v>
      </c>
      <c r="H174" s="50">
        <f t="shared" si="2"/>
        <v>0.0001961184026</v>
      </c>
      <c r="I174" s="51">
        <f t="shared" si="5"/>
        <v>0.003918039437</v>
      </c>
      <c r="J174" s="53">
        <f t="shared" si="6"/>
        <v>-0.00321253222</v>
      </c>
      <c r="K174" s="40">
        <f t="shared" si="7"/>
        <v>-0.00683222989</v>
      </c>
    </row>
    <row r="175">
      <c r="A175" s="54">
        <v>43578.0</v>
      </c>
      <c r="B175" s="11">
        <v>100.9965</v>
      </c>
      <c r="C175" s="47">
        <f t="shared" si="3"/>
        <v>0.0000495091171</v>
      </c>
      <c r="D175" s="42">
        <v>11594.45</v>
      </c>
      <c r="E175" s="11">
        <f t="shared" si="4"/>
        <v>-0.01347338507</v>
      </c>
      <c r="F175" s="48">
        <v>7.474</v>
      </c>
      <c r="G175" s="49">
        <f t="shared" si="1"/>
        <v>0.07474</v>
      </c>
      <c r="H175" s="50">
        <f t="shared" si="2"/>
        <v>0.000197495587</v>
      </c>
      <c r="I175" s="51">
        <f t="shared" si="5"/>
        <v>0.007022208607</v>
      </c>
      <c r="J175" s="53">
        <f t="shared" si="6"/>
        <v>-0.00697269949</v>
      </c>
      <c r="K175" s="40">
        <f t="shared" si="7"/>
        <v>-0.02049559367</v>
      </c>
    </row>
    <row r="176">
      <c r="A176" s="54">
        <v>43579.0</v>
      </c>
      <c r="B176" s="11">
        <v>100.9807</v>
      </c>
      <c r="C176" s="47">
        <f t="shared" si="3"/>
        <v>-0.0001564410648</v>
      </c>
      <c r="D176" s="42">
        <v>11575.95</v>
      </c>
      <c r="E176" s="11">
        <f t="shared" si="4"/>
        <v>-0.001595590994</v>
      </c>
      <c r="F176" s="48">
        <v>7.473</v>
      </c>
      <c r="G176" s="49">
        <f t="shared" si="1"/>
        <v>0.07473</v>
      </c>
      <c r="H176" s="50">
        <f t="shared" si="2"/>
        <v>0.0001974700898</v>
      </c>
      <c r="I176" s="51">
        <f t="shared" si="5"/>
        <v>-0.0001291023365</v>
      </c>
      <c r="J176" s="53">
        <f t="shared" si="6"/>
        <v>-0.00002733872827</v>
      </c>
      <c r="K176" s="40">
        <f t="shared" si="7"/>
        <v>-0.001466488657</v>
      </c>
    </row>
    <row r="177">
      <c r="A177" s="54">
        <v>43580.0</v>
      </c>
      <c r="B177" s="11">
        <v>100.9935</v>
      </c>
      <c r="C177" s="47">
        <f t="shared" si="3"/>
        <v>0.0001267568951</v>
      </c>
      <c r="D177" s="42">
        <v>11726.15</v>
      </c>
      <c r="E177" s="11">
        <f t="shared" si="4"/>
        <v>0.01297517698</v>
      </c>
      <c r="F177" s="48">
        <v>7.424</v>
      </c>
      <c r="G177" s="49">
        <f t="shared" si="1"/>
        <v>0.07424</v>
      </c>
      <c r="H177" s="50">
        <f t="shared" si="2"/>
        <v>0.00019622044</v>
      </c>
      <c r="I177" s="51">
        <f t="shared" si="5"/>
        <v>-0.006328299469</v>
      </c>
      <c r="J177" s="53">
        <f t="shared" si="6"/>
        <v>0.006455056364</v>
      </c>
      <c r="K177" s="40">
        <f t="shared" si="7"/>
        <v>0.01930347645</v>
      </c>
    </row>
    <row r="178">
      <c r="A178" s="54">
        <v>43581.0</v>
      </c>
      <c r="B178" s="11">
        <v>101.0087</v>
      </c>
      <c r="C178" s="47">
        <f t="shared" si="3"/>
        <v>0.0001505047355</v>
      </c>
      <c r="D178" s="42">
        <v>11641.8</v>
      </c>
      <c r="E178" s="11">
        <f t="shared" si="4"/>
        <v>-0.007193324322</v>
      </c>
      <c r="F178" s="48">
        <v>7.451</v>
      </c>
      <c r="G178" s="49">
        <f t="shared" si="1"/>
        <v>0.07451</v>
      </c>
      <c r="H178" s="50">
        <f t="shared" si="2"/>
        <v>0.0001969090928</v>
      </c>
      <c r="I178" s="51">
        <f t="shared" si="5"/>
        <v>0.003509587878</v>
      </c>
      <c r="J178" s="53">
        <f t="shared" si="6"/>
        <v>-0.003359083143</v>
      </c>
      <c r="K178" s="40">
        <f t="shared" si="7"/>
        <v>-0.0107029122</v>
      </c>
    </row>
    <row r="179">
      <c r="A179" s="54">
        <v>43585.0</v>
      </c>
      <c r="B179" s="11">
        <v>101.0648</v>
      </c>
      <c r="C179" s="47">
        <f t="shared" si="3"/>
        <v>0.0005553977034</v>
      </c>
      <c r="D179" s="42">
        <v>11754.65</v>
      </c>
      <c r="E179" s="11">
        <f t="shared" si="4"/>
        <v>0.009693518184</v>
      </c>
      <c r="F179" s="48">
        <v>7.408</v>
      </c>
      <c r="G179" s="49">
        <f t="shared" si="1"/>
        <v>0.07408</v>
      </c>
      <c r="H179" s="50">
        <f t="shared" si="2"/>
        <v>0.0001958122679</v>
      </c>
      <c r="I179" s="51">
        <f t="shared" si="5"/>
        <v>-0.005570209646</v>
      </c>
      <c r="J179" s="53">
        <f t="shared" si="6"/>
        <v>0.00612560735</v>
      </c>
      <c r="K179" s="40">
        <f t="shared" si="7"/>
        <v>0.01526372783</v>
      </c>
    </row>
    <row r="180">
      <c r="A180" s="67">
        <v>43587.0</v>
      </c>
      <c r="B180" s="11">
        <v>100.3996</v>
      </c>
      <c r="C180" s="47">
        <f t="shared" si="3"/>
        <v>-0.006581915761</v>
      </c>
      <c r="D180" s="42">
        <v>11748.15</v>
      </c>
      <c r="E180" s="11">
        <f t="shared" si="4"/>
        <v>-0.0005529726534</v>
      </c>
      <c r="F180" s="48">
        <v>7.414</v>
      </c>
      <c r="G180" s="49">
        <f t="shared" si="1"/>
        <v>0.07414</v>
      </c>
      <c r="H180" s="50">
        <f t="shared" si="2"/>
        <v>0.0001959653395</v>
      </c>
      <c r="I180" s="51">
        <f t="shared" si="5"/>
        <v>0.0007817264266</v>
      </c>
      <c r="J180" s="53">
        <f t="shared" si="6"/>
        <v>-0.007363642188</v>
      </c>
      <c r="K180" s="40">
        <f t="shared" si="7"/>
        <v>-0.00133469908</v>
      </c>
    </row>
    <row r="181">
      <c r="A181" s="67">
        <v>43588.0</v>
      </c>
      <c r="B181" s="11">
        <v>100.4173</v>
      </c>
      <c r="C181" s="47">
        <f t="shared" si="3"/>
        <v>0.0001762955231</v>
      </c>
      <c r="D181" s="42">
        <v>11724.75</v>
      </c>
      <c r="E181" s="11">
        <f t="shared" si="4"/>
        <v>-0.001991802965</v>
      </c>
      <c r="F181" s="48">
        <v>7.386</v>
      </c>
      <c r="G181" s="49">
        <f t="shared" si="1"/>
        <v>0.07386</v>
      </c>
      <c r="H181" s="50">
        <f t="shared" si="2"/>
        <v>0.0001952509323</v>
      </c>
      <c r="I181" s="51">
        <f t="shared" si="5"/>
        <v>-0.003645579444</v>
      </c>
      <c r="J181" s="53">
        <f t="shared" si="6"/>
        <v>0.003821874967</v>
      </c>
      <c r="K181" s="40">
        <f t="shared" si="7"/>
        <v>0.001653776479</v>
      </c>
    </row>
    <row r="182">
      <c r="A182" s="67">
        <v>43591.0</v>
      </c>
      <c r="B182" s="11">
        <v>100.4844</v>
      </c>
      <c r="C182" s="47">
        <f t="shared" si="3"/>
        <v>0.0006682115532</v>
      </c>
      <c r="D182" s="42">
        <v>11712.25</v>
      </c>
      <c r="E182" s="11">
        <f t="shared" si="4"/>
        <v>-0.001066120813</v>
      </c>
      <c r="F182" s="48">
        <v>7.397</v>
      </c>
      <c r="G182" s="49">
        <f t="shared" si="1"/>
        <v>0.07397</v>
      </c>
      <c r="H182" s="50">
        <f t="shared" si="2"/>
        <v>0.0001955316145</v>
      </c>
      <c r="I182" s="51">
        <f t="shared" si="5"/>
        <v>0.001437545651</v>
      </c>
      <c r="J182" s="53">
        <f t="shared" si="6"/>
        <v>-0.0007693340979</v>
      </c>
      <c r="K182" s="40">
        <f t="shared" si="7"/>
        <v>-0.002503666464</v>
      </c>
    </row>
    <row r="183">
      <c r="A183" s="67">
        <v>43592.0</v>
      </c>
      <c r="B183" s="11">
        <v>100.5234</v>
      </c>
      <c r="C183" s="47">
        <f t="shared" si="3"/>
        <v>0.000388119947</v>
      </c>
      <c r="D183" s="42">
        <v>11598.25</v>
      </c>
      <c r="E183" s="11">
        <f t="shared" si="4"/>
        <v>-0.009733398792</v>
      </c>
      <c r="F183" s="48">
        <v>7.394</v>
      </c>
      <c r="G183" s="49">
        <f t="shared" si="1"/>
        <v>0.07394</v>
      </c>
      <c r="H183" s="50">
        <f t="shared" si="2"/>
        <v>0.0001954550676</v>
      </c>
      <c r="I183" s="51">
        <f t="shared" si="5"/>
        <v>-0.0003914805705</v>
      </c>
      <c r="J183" s="53">
        <f t="shared" si="6"/>
        <v>0.0007796005175</v>
      </c>
      <c r="K183" s="40">
        <f t="shared" si="7"/>
        <v>-0.009341918221</v>
      </c>
    </row>
    <row r="184">
      <c r="A184" s="67">
        <v>43593.0</v>
      </c>
      <c r="B184" s="11">
        <v>100.5604</v>
      </c>
      <c r="C184" s="47">
        <f t="shared" si="3"/>
        <v>0.0003680735033</v>
      </c>
      <c r="D184" s="42">
        <v>11497.9</v>
      </c>
      <c r="E184" s="11">
        <f t="shared" si="4"/>
        <v>-0.008652167353</v>
      </c>
      <c r="F184" s="48">
        <v>7.382</v>
      </c>
      <c r="G184" s="49">
        <f t="shared" si="1"/>
        <v>0.07382</v>
      </c>
      <c r="H184" s="50">
        <f t="shared" si="2"/>
        <v>0.000195148859</v>
      </c>
      <c r="I184" s="51">
        <f t="shared" si="5"/>
        <v>-0.001566644662</v>
      </c>
      <c r="J184" s="53">
        <f t="shared" si="6"/>
        <v>0.001934718166</v>
      </c>
      <c r="K184" s="40">
        <f t="shared" si="7"/>
        <v>-0.00708552269</v>
      </c>
    </row>
    <row r="185">
      <c r="A185" s="67">
        <v>43594.0</v>
      </c>
      <c r="B185" s="11">
        <v>100.5848</v>
      </c>
      <c r="C185" s="47">
        <f t="shared" si="3"/>
        <v>0.0002426402441</v>
      </c>
      <c r="D185" s="42">
        <v>11359.45</v>
      </c>
      <c r="E185" s="11">
        <f t="shared" si="4"/>
        <v>-0.01204132929</v>
      </c>
      <c r="F185" s="48">
        <v>7.375</v>
      </c>
      <c r="G185" s="49">
        <f t="shared" si="1"/>
        <v>0.07375</v>
      </c>
      <c r="H185" s="50">
        <f t="shared" si="2"/>
        <v>0.0001949702215</v>
      </c>
      <c r="I185" s="51">
        <f t="shared" si="5"/>
        <v>-0.0009153907749</v>
      </c>
      <c r="J185" s="53">
        <f t="shared" si="6"/>
        <v>0.001158031019</v>
      </c>
      <c r="K185" s="40">
        <f t="shared" si="7"/>
        <v>-0.01112593851</v>
      </c>
    </row>
    <row r="186">
      <c r="A186" s="68">
        <v>43595.0</v>
      </c>
      <c r="B186" s="11">
        <v>100.6125</v>
      </c>
      <c r="C186" s="47">
        <f t="shared" si="3"/>
        <v>0.0002753895221</v>
      </c>
      <c r="D186" s="42">
        <v>11301.8</v>
      </c>
      <c r="E186" s="11">
        <f t="shared" si="4"/>
        <v>-0.005075069656</v>
      </c>
      <c r="F186" s="48">
        <v>7.397</v>
      </c>
      <c r="G186" s="49">
        <f t="shared" si="1"/>
        <v>0.07397</v>
      </c>
      <c r="H186" s="50">
        <f t="shared" si="2"/>
        <v>0.0001955316145</v>
      </c>
      <c r="I186" s="51">
        <f t="shared" si="5"/>
        <v>0.002879377821</v>
      </c>
      <c r="J186" s="53">
        <f t="shared" si="6"/>
        <v>-0.002603988299</v>
      </c>
      <c r="K186" s="40">
        <f t="shared" si="7"/>
        <v>-0.007954447477</v>
      </c>
    </row>
    <row r="187">
      <c r="A187" s="68">
        <v>43598.0</v>
      </c>
      <c r="B187" s="11">
        <v>100.6717</v>
      </c>
      <c r="C187" s="47">
        <f t="shared" si="3"/>
        <v>0.000588396074</v>
      </c>
      <c r="D187" s="42">
        <v>11278.9</v>
      </c>
      <c r="E187" s="11">
        <f t="shared" si="4"/>
        <v>-0.002026225911</v>
      </c>
      <c r="F187" s="48">
        <v>7.413</v>
      </c>
      <c r="G187" s="49">
        <f t="shared" si="1"/>
        <v>0.07413</v>
      </c>
      <c r="H187" s="50">
        <f t="shared" si="2"/>
        <v>0.0001959398282</v>
      </c>
      <c r="I187" s="51">
        <f t="shared" si="5"/>
        <v>0.002087712214</v>
      </c>
      <c r="J187" s="53">
        <f t="shared" si="6"/>
        <v>-0.00149931614</v>
      </c>
      <c r="K187" s="40">
        <f t="shared" si="7"/>
        <v>-0.004113938125</v>
      </c>
    </row>
    <row r="188">
      <c r="A188" s="68">
        <v>43599.0</v>
      </c>
      <c r="B188" s="11">
        <v>100.7074</v>
      </c>
      <c r="C188" s="47">
        <f t="shared" si="3"/>
        <v>0.0003546180307</v>
      </c>
      <c r="D188" s="42">
        <v>11148.2</v>
      </c>
      <c r="E188" s="11">
        <f t="shared" si="4"/>
        <v>-0.01158800947</v>
      </c>
      <c r="F188" s="48">
        <v>7.388</v>
      </c>
      <c r="G188" s="49">
        <f t="shared" si="1"/>
        <v>0.07388</v>
      </c>
      <c r="H188" s="50">
        <f t="shared" si="2"/>
        <v>0.0001953019676</v>
      </c>
      <c r="I188" s="51">
        <f t="shared" si="5"/>
        <v>-0.003255390327</v>
      </c>
      <c r="J188" s="53">
        <f t="shared" si="6"/>
        <v>0.003610008358</v>
      </c>
      <c r="K188" s="40">
        <f t="shared" si="7"/>
        <v>-0.008332619142</v>
      </c>
    </row>
    <row r="189">
      <c r="A189" s="68">
        <v>43600.0</v>
      </c>
      <c r="B189" s="11">
        <v>100.7339</v>
      </c>
      <c r="C189" s="47">
        <f t="shared" si="3"/>
        <v>0.0002631385578</v>
      </c>
      <c r="D189" s="42">
        <v>11222.05</v>
      </c>
      <c r="E189" s="11">
        <f t="shared" si="4"/>
        <v>0.006624387794</v>
      </c>
      <c r="F189" s="48">
        <v>7.378</v>
      </c>
      <c r="G189" s="49">
        <f t="shared" si="1"/>
        <v>0.07378</v>
      </c>
      <c r="H189" s="50">
        <f t="shared" si="2"/>
        <v>0.0001950467819</v>
      </c>
      <c r="I189" s="51">
        <f t="shared" si="5"/>
        <v>-0.001306621317</v>
      </c>
      <c r="J189" s="53">
        <f t="shared" si="6"/>
        <v>0.001569759875</v>
      </c>
      <c r="K189" s="40">
        <f t="shared" si="7"/>
        <v>0.007931009111</v>
      </c>
    </row>
    <row r="190">
      <c r="A190" s="68">
        <v>43601.0</v>
      </c>
      <c r="B190" s="11">
        <v>100.7706</v>
      </c>
      <c r="C190" s="47">
        <f t="shared" si="3"/>
        <v>0.0003643262099</v>
      </c>
      <c r="D190" s="42">
        <v>11157.0</v>
      </c>
      <c r="E190" s="11">
        <f t="shared" si="4"/>
        <v>-0.005796623612</v>
      </c>
      <c r="F190" s="48">
        <v>7.379</v>
      </c>
      <c r="G190" s="49">
        <f t="shared" si="1"/>
        <v>0.07379</v>
      </c>
      <c r="H190" s="50">
        <f t="shared" si="2"/>
        <v>0.0001950723015</v>
      </c>
      <c r="I190" s="51">
        <f t="shared" si="5"/>
        <v>0.000130838548</v>
      </c>
      <c r="J190" s="53">
        <f t="shared" si="6"/>
        <v>0.0002334876619</v>
      </c>
      <c r="K190" s="40">
        <f t="shared" si="7"/>
        <v>-0.00592746216</v>
      </c>
    </row>
    <row r="191">
      <c r="A191" s="68">
        <v>43602.0</v>
      </c>
      <c r="B191" s="11">
        <v>100.821</v>
      </c>
      <c r="C191" s="47">
        <f t="shared" si="3"/>
        <v>0.0005001458759</v>
      </c>
      <c r="D191" s="42">
        <v>11257.1</v>
      </c>
      <c r="E191" s="11">
        <f t="shared" si="4"/>
        <v>0.008971945864</v>
      </c>
      <c r="F191" s="48">
        <v>7.377</v>
      </c>
      <c r="G191" s="49">
        <f t="shared" si="1"/>
        <v>0.07377</v>
      </c>
      <c r="H191" s="50">
        <f t="shared" si="2"/>
        <v>0.000195021262</v>
      </c>
      <c r="I191" s="51">
        <f t="shared" si="5"/>
        <v>-0.0002616440788</v>
      </c>
      <c r="J191" s="53">
        <f t="shared" si="6"/>
        <v>0.0007617899546</v>
      </c>
      <c r="K191" s="40">
        <f t="shared" si="7"/>
        <v>0.009233589942</v>
      </c>
    </row>
    <row r="192">
      <c r="A192" s="68">
        <v>43605.0</v>
      </c>
      <c r="B192" s="11">
        <v>100.8939</v>
      </c>
      <c r="C192" s="47">
        <f t="shared" si="3"/>
        <v>0.0007230636475</v>
      </c>
      <c r="D192" s="42">
        <v>11407.15</v>
      </c>
      <c r="E192" s="11">
        <f t="shared" si="4"/>
        <v>0.01332936547</v>
      </c>
      <c r="F192" s="48">
        <v>7.362</v>
      </c>
      <c r="G192" s="49">
        <f t="shared" si="1"/>
        <v>0.07362</v>
      </c>
      <c r="H192" s="50">
        <f t="shared" si="2"/>
        <v>0.0001946384354</v>
      </c>
      <c r="I192" s="51">
        <f t="shared" si="5"/>
        <v>-0.001962999132</v>
      </c>
      <c r="J192" s="53">
        <f t="shared" si="6"/>
        <v>0.002686062779</v>
      </c>
      <c r="K192" s="40">
        <f t="shared" si="7"/>
        <v>0.0152923646</v>
      </c>
    </row>
    <row r="193">
      <c r="A193" s="68">
        <v>43606.0</v>
      </c>
      <c r="B193" s="11">
        <v>100.9148</v>
      </c>
      <c r="C193" s="47">
        <f t="shared" si="3"/>
        <v>0.0002071483013</v>
      </c>
      <c r="D193" s="42">
        <v>11828.25</v>
      </c>
      <c r="E193" s="11">
        <f t="shared" si="4"/>
        <v>0.03691544338</v>
      </c>
      <c r="F193" s="48">
        <v>7.286</v>
      </c>
      <c r="G193" s="49">
        <f t="shared" si="1"/>
        <v>0.07286</v>
      </c>
      <c r="H193" s="50">
        <f t="shared" si="2"/>
        <v>0.0001926979607</v>
      </c>
      <c r="I193" s="51">
        <f t="shared" si="5"/>
        <v>-0.009969638048</v>
      </c>
      <c r="J193" s="53">
        <f t="shared" si="6"/>
        <v>0.01017678635</v>
      </c>
      <c r="K193" s="40">
        <f t="shared" si="7"/>
        <v>0.04688508143</v>
      </c>
    </row>
    <row r="194">
      <c r="A194" s="68">
        <v>43607.0</v>
      </c>
      <c r="B194" s="11">
        <v>100.938</v>
      </c>
      <c r="C194" s="47">
        <f t="shared" si="3"/>
        <v>0.0002298969031</v>
      </c>
      <c r="D194" s="42">
        <v>11709.1</v>
      </c>
      <c r="E194" s="11">
        <f t="shared" si="4"/>
        <v>-0.01007334136</v>
      </c>
      <c r="F194" s="48">
        <v>7.303</v>
      </c>
      <c r="G194" s="49">
        <f t="shared" si="1"/>
        <v>0.07303</v>
      </c>
      <c r="H194" s="50">
        <f t="shared" si="2"/>
        <v>0.0001931321332</v>
      </c>
      <c r="I194" s="51">
        <f t="shared" si="5"/>
        <v>0.002253124826</v>
      </c>
      <c r="J194" s="53">
        <f t="shared" si="6"/>
        <v>-0.002023227922</v>
      </c>
      <c r="K194" s="40">
        <f t="shared" si="7"/>
        <v>-0.01232646619</v>
      </c>
    </row>
    <row r="195">
      <c r="A195" s="68">
        <v>43608.0</v>
      </c>
      <c r="B195" s="11">
        <v>101.0008</v>
      </c>
      <c r="C195" s="47">
        <f t="shared" si="3"/>
        <v>0.0006221641007</v>
      </c>
      <c r="D195" s="42">
        <v>11737.9</v>
      </c>
      <c r="E195" s="11">
        <f t="shared" si="4"/>
        <v>0.00245962542</v>
      </c>
      <c r="F195" s="48">
        <v>7.26</v>
      </c>
      <c r="G195" s="49">
        <f t="shared" si="1"/>
        <v>0.0726</v>
      </c>
      <c r="H195" s="50">
        <f t="shared" si="2"/>
        <v>0.0001920337993</v>
      </c>
      <c r="I195" s="51">
        <f t="shared" si="5"/>
        <v>-0.005686955788</v>
      </c>
      <c r="J195" s="53">
        <f t="shared" si="6"/>
        <v>0.006309119889</v>
      </c>
      <c r="K195" s="40">
        <f t="shared" si="7"/>
        <v>0.008146581208</v>
      </c>
    </row>
    <row r="196">
      <c r="A196" s="68">
        <v>43609.0</v>
      </c>
      <c r="B196" s="11">
        <v>101.0243</v>
      </c>
      <c r="C196" s="47">
        <f t="shared" si="3"/>
        <v>0.0002326714244</v>
      </c>
      <c r="D196" s="42">
        <v>11657.05</v>
      </c>
      <c r="E196" s="11">
        <f t="shared" si="4"/>
        <v>-0.006887944181</v>
      </c>
      <c r="F196" s="48">
        <v>7.239</v>
      </c>
      <c r="G196" s="49">
        <f t="shared" si="1"/>
        <v>0.07239</v>
      </c>
      <c r="H196" s="50">
        <f t="shared" si="2"/>
        <v>0.0001914972441</v>
      </c>
      <c r="I196" s="51">
        <f t="shared" si="5"/>
        <v>-0.002794066612</v>
      </c>
      <c r="J196" s="53">
        <f t="shared" si="6"/>
        <v>0.003026738037</v>
      </c>
      <c r="K196" s="40">
        <f t="shared" si="7"/>
        <v>-0.004093877568</v>
      </c>
    </row>
    <row r="197">
      <c r="A197" s="68">
        <v>43612.0</v>
      </c>
      <c r="B197" s="11">
        <v>101.0958</v>
      </c>
      <c r="C197" s="47">
        <f t="shared" si="3"/>
        <v>0.0007077505115</v>
      </c>
      <c r="D197" s="42">
        <v>11844.1</v>
      </c>
      <c r="E197" s="11">
        <f t="shared" si="4"/>
        <v>0.0160460837</v>
      </c>
      <c r="F197" s="48">
        <v>7.226</v>
      </c>
      <c r="G197" s="49">
        <f t="shared" si="1"/>
        <v>0.07226</v>
      </c>
      <c r="H197" s="50">
        <f t="shared" si="2"/>
        <v>0.0001911650384</v>
      </c>
      <c r="I197" s="51">
        <f t="shared" si="5"/>
        <v>-0.001734780833</v>
      </c>
      <c r="J197" s="53">
        <f t="shared" si="6"/>
        <v>0.002442531345</v>
      </c>
      <c r="K197" s="40">
        <f t="shared" si="7"/>
        <v>0.01778086453</v>
      </c>
    </row>
    <row r="198">
      <c r="A198" s="68">
        <v>43613.0</v>
      </c>
      <c r="B198" s="11">
        <v>101.1148</v>
      </c>
      <c r="C198" s="47">
        <f t="shared" si="3"/>
        <v>0.0001879405475</v>
      </c>
      <c r="D198" s="42">
        <v>11924.75</v>
      </c>
      <c r="E198" s="11">
        <f t="shared" si="4"/>
        <v>0.006809297456</v>
      </c>
      <c r="F198" s="48">
        <v>7.167</v>
      </c>
      <c r="G198" s="49">
        <f t="shared" si="1"/>
        <v>0.07167</v>
      </c>
      <c r="H198" s="50">
        <f t="shared" si="2"/>
        <v>0.0001896568304</v>
      </c>
      <c r="I198" s="51">
        <f t="shared" si="5"/>
        <v>-0.00788955977</v>
      </c>
      <c r="J198" s="53">
        <f t="shared" si="6"/>
        <v>0.008077500318</v>
      </c>
      <c r="K198" s="40">
        <f t="shared" si="7"/>
        <v>0.01469885723</v>
      </c>
    </row>
    <row r="199">
      <c r="A199" s="68">
        <v>43614.0</v>
      </c>
      <c r="B199" s="11">
        <v>101.1417</v>
      </c>
      <c r="C199" s="47">
        <f t="shared" si="3"/>
        <v>0.0002660342502</v>
      </c>
      <c r="D199" s="42">
        <v>11928.75</v>
      </c>
      <c r="E199" s="11">
        <f t="shared" si="4"/>
        <v>0.0003354368016</v>
      </c>
      <c r="F199" s="48">
        <v>7.149</v>
      </c>
      <c r="G199" s="49">
        <f t="shared" si="1"/>
        <v>0.07149</v>
      </c>
      <c r="H199" s="50">
        <f t="shared" si="2"/>
        <v>0.0001891965342</v>
      </c>
      <c r="I199" s="51">
        <f t="shared" si="5"/>
        <v>-0.002426994618</v>
      </c>
      <c r="J199" s="53">
        <f t="shared" si="6"/>
        <v>0.002693028868</v>
      </c>
      <c r="K199" s="40">
        <f t="shared" si="7"/>
        <v>0.00276243142</v>
      </c>
    </row>
    <row r="200">
      <c r="A200" s="68">
        <v>43615.0</v>
      </c>
      <c r="B200" s="11">
        <v>100.4062</v>
      </c>
      <c r="C200" s="47">
        <f t="shared" si="3"/>
        <v>-0.007271975852</v>
      </c>
      <c r="D200" s="42">
        <v>11861.1</v>
      </c>
      <c r="E200" s="11">
        <f t="shared" si="4"/>
        <v>-0.005671172587</v>
      </c>
      <c r="F200" s="48">
        <v>7.125</v>
      </c>
      <c r="G200" s="49">
        <f t="shared" si="1"/>
        <v>0.07125</v>
      </c>
      <c r="H200" s="50">
        <f t="shared" si="2"/>
        <v>0.0001885826861</v>
      </c>
      <c r="I200" s="51">
        <f t="shared" si="5"/>
        <v>-0.003244499766</v>
      </c>
      <c r="J200" s="53">
        <f t="shared" si="6"/>
        <v>-0.004027476086</v>
      </c>
      <c r="K200" s="40">
        <f t="shared" si="7"/>
        <v>-0.002426672822</v>
      </c>
    </row>
    <row r="201">
      <c r="A201" s="68">
        <v>43616.0</v>
      </c>
      <c r="B201" s="11">
        <v>100.4558</v>
      </c>
      <c r="C201" s="47">
        <f t="shared" si="3"/>
        <v>0.0004939933988</v>
      </c>
      <c r="D201" s="42">
        <v>11945.9</v>
      </c>
      <c r="E201" s="11">
        <f t="shared" si="4"/>
        <v>0.007149421217</v>
      </c>
      <c r="F201" s="48">
        <v>7.133</v>
      </c>
      <c r="G201" s="49">
        <f t="shared" si="1"/>
        <v>0.07133</v>
      </c>
      <c r="H201" s="50">
        <f t="shared" si="2"/>
        <v>0.0001887873174</v>
      </c>
      <c r="I201" s="51">
        <f t="shared" si="5"/>
        <v>0.001085101069</v>
      </c>
      <c r="J201" s="53">
        <f t="shared" si="6"/>
        <v>-0.0005911076704</v>
      </c>
      <c r="K201" s="40">
        <f t="shared" si="7"/>
        <v>0.006064320148</v>
      </c>
    </row>
    <row r="202">
      <c r="A202" s="46">
        <v>43619.0</v>
      </c>
      <c r="B202" s="11">
        <v>100.566</v>
      </c>
      <c r="C202" s="47">
        <f t="shared" si="3"/>
        <v>0.001096999875</v>
      </c>
      <c r="D202" s="42">
        <v>11922.8</v>
      </c>
      <c r="E202" s="11">
        <f t="shared" si="4"/>
        <v>-0.001933717845</v>
      </c>
      <c r="F202" s="48">
        <v>7.032</v>
      </c>
      <c r="G202" s="49">
        <f t="shared" si="1"/>
        <v>0.07032</v>
      </c>
      <c r="H202" s="50">
        <f t="shared" si="2"/>
        <v>0.0001862027286</v>
      </c>
      <c r="I202" s="51">
        <f t="shared" si="5"/>
        <v>-0.01369047904</v>
      </c>
      <c r="J202" s="53">
        <f t="shared" si="6"/>
        <v>0.01478747891</v>
      </c>
      <c r="K202" s="40">
        <f t="shared" si="7"/>
        <v>0.0117567612</v>
      </c>
    </row>
    <row r="203">
      <c r="A203" s="46">
        <v>43620.0</v>
      </c>
      <c r="B203" s="11">
        <v>100.5851</v>
      </c>
      <c r="C203" s="47">
        <f t="shared" si="3"/>
        <v>0.0001899250244</v>
      </c>
      <c r="D203" s="42">
        <v>12088.55</v>
      </c>
      <c r="E203" s="11">
        <f t="shared" si="4"/>
        <v>0.01390193579</v>
      </c>
      <c r="F203" s="48">
        <v>6.982</v>
      </c>
      <c r="G203" s="49">
        <f t="shared" si="1"/>
        <v>0.06982</v>
      </c>
      <c r="H203" s="50">
        <f t="shared" si="2"/>
        <v>0.000184922329</v>
      </c>
      <c r="I203" s="51">
        <f t="shared" si="5"/>
        <v>-0.006876374162</v>
      </c>
      <c r="J203" s="53">
        <f t="shared" si="6"/>
        <v>0.007066299187</v>
      </c>
      <c r="K203" s="40">
        <f t="shared" si="7"/>
        <v>0.02077830995</v>
      </c>
    </row>
    <row r="204">
      <c r="A204" s="46">
        <v>43622.0</v>
      </c>
      <c r="B204" s="11">
        <v>100.6405</v>
      </c>
      <c r="C204" s="47">
        <f t="shared" si="3"/>
        <v>0.0005507774014</v>
      </c>
      <c r="D204" s="42">
        <v>12021.65</v>
      </c>
      <c r="E204" s="11">
        <f t="shared" si="4"/>
        <v>-0.005534162493</v>
      </c>
      <c r="F204" s="48">
        <v>7.022</v>
      </c>
      <c r="G204" s="49">
        <f t="shared" si="1"/>
        <v>0.07022</v>
      </c>
      <c r="H204" s="50">
        <f t="shared" si="2"/>
        <v>0.0001859466964</v>
      </c>
      <c r="I204" s="51">
        <f t="shared" si="5"/>
        <v>0.005539446956</v>
      </c>
      <c r="J204" s="53">
        <f t="shared" si="6"/>
        <v>-0.004988669554</v>
      </c>
      <c r="K204" s="40">
        <f t="shared" si="7"/>
        <v>-0.01107360945</v>
      </c>
    </row>
    <row r="205">
      <c r="A205" s="46">
        <v>43623.0</v>
      </c>
      <c r="B205" s="11">
        <v>100.634</v>
      </c>
      <c r="C205" s="47">
        <f t="shared" si="3"/>
        <v>-0.00006458632459</v>
      </c>
      <c r="D205" s="42">
        <v>11843.75</v>
      </c>
      <c r="E205" s="11">
        <f t="shared" si="4"/>
        <v>-0.0147983014</v>
      </c>
      <c r="F205" s="48">
        <v>6.931</v>
      </c>
      <c r="G205" s="49">
        <f t="shared" si="1"/>
        <v>0.06931</v>
      </c>
      <c r="H205" s="50">
        <f t="shared" si="2"/>
        <v>0.0001836157064</v>
      </c>
      <c r="I205" s="51">
        <f t="shared" si="5"/>
        <v>-0.01253579682</v>
      </c>
      <c r="J205" s="53">
        <f t="shared" si="6"/>
        <v>0.01247121049</v>
      </c>
      <c r="K205" s="40">
        <f t="shared" si="7"/>
        <v>-0.00226250458</v>
      </c>
    </row>
    <row r="206">
      <c r="A206" s="54">
        <v>43626.0</v>
      </c>
      <c r="B206" s="11">
        <v>100.6728</v>
      </c>
      <c r="C206" s="47">
        <f t="shared" si="3"/>
        <v>0.0003855555776</v>
      </c>
      <c r="D206" s="42">
        <v>11870.65</v>
      </c>
      <c r="E206" s="11">
        <f t="shared" si="4"/>
        <v>0.002271240106</v>
      </c>
      <c r="F206" s="48">
        <v>6.974</v>
      </c>
      <c r="G206" s="49">
        <f t="shared" si="1"/>
        <v>0.06974</v>
      </c>
      <c r="H206" s="50">
        <f t="shared" si="2"/>
        <v>0.0001847174096</v>
      </c>
      <c r="I206" s="51">
        <f t="shared" si="5"/>
        <v>0.006000049092</v>
      </c>
      <c r="J206" s="53">
        <f t="shared" si="6"/>
        <v>-0.005614493514</v>
      </c>
      <c r="K206" s="40">
        <f t="shared" si="7"/>
        <v>-0.003728808986</v>
      </c>
    </row>
    <row r="207">
      <c r="A207" s="54">
        <v>43627.0</v>
      </c>
      <c r="B207" s="11">
        <v>100.6831</v>
      </c>
      <c r="C207" s="47">
        <f t="shared" si="3"/>
        <v>0.0001023116472</v>
      </c>
      <c r="D207" s="42">
        <v>11922.7</v>
      </c>
      <c r="E207" s="11">
        <f t="shared" si="4"/>
        <v>0.004384764103</v>
      </c>
      <c r="F207" s="48">
        <v>7.077</v>
      </c>
      <c r="G207" s="49">
        <f t="shared" si="1"/>
        <v>0.07077</v>
      </c>
      <c r="H207" s="50">
        <f t="shared" si="2"/>
        <v>0.0001873545784</v>
      </c>
      <c r="I207" s="51">
        <f t="shared" si="5"/>
        <v>0.01427677403</v>
      </c>
      <c r="J207" s="53">
        <f t="shared" si="6"/>
        <v>-0.01417446238</v>
      </c>
      <c r="K207" s="40">
        <f t="shared" si="7"/>
        <v>-0.009892009922</v>
      </c>
    </row>
    <row r="208">
      <c r="A208" s="54">
        <v>43628.0</v>
      </c>
      <c r="B208" s="11">
        <v>100.6953</v>
      </c>
      <c r="C208" s="47">
        <f t="shared" si="3"/>
        <v>0.0001211722722</v>
      </c>
      <c r="D208" s="42">
        <v>11965.6</v>
      </c>
      <c r="E208" s="11">
        <f t="shared" si="4"/>
        <v>0.003598178265</v>
      </c>
      <c r="F208" s="48">
        <v>7.037</v>
      </c>
      <c r="G208" s="49">
        <f t="shared" si="1"/>
        <v>0.07037</v>
      </c>
      <c r="H208" s="50">
        <f t="shared" si="2"/>
        <v>0.0001863307358</v>
      </c>
      <c r="I208" s="51">
        <f t="shared" si="5"/>
        <v>-0.005464732267</v>
      </c>
      <c r="J208" s="53">
        <f t="shared" si="6"/>
        <v>0.00558590454</v>
      </c>
      <c r="K208" s="40">
        <f t="shared" si="7"/>
        <v>0.009062910532</v>
      </c>
    </row>
    <row r="209">
      <c r="A209" s="54">
        <v>43629.0</v>
      </c>
      <c r="B209" s="11">
        <v>100.7139</v>
      </c>
      <c r="C209" s="47">
        <f t="shared" si="3"/>
        <v>0.0001847156719</v>
      </c>
      <c r="D209" s="42">
        <v>11906.2</v>
      </c>
      <c r="E209" s="11">
        <f t="shared" si="4"/>
        <v>-0.004964230795</v>
      </c>
      <c r="F209" s="48">
        <v>7.012</v>
      </c>
      <c r="G209" s="49">
        <f t="shared" si="1"/>
        <v>0.07012</v>
      </c>
      <c r="H209" s="50">
        <f t="shared" si="2"/>
        <v>0.0001856906403</v>
      </c>
      <c r="I209" s="51">
        <f t="shared" si="5"/>
        <v>-0.003435264771</v>
      </c>
      <c r="J209" s="53">
        <f t="shared" si="6"/>
        <v>0.003619980443</v>
      </c>
      <c r="K209" s="40">
        <f t="shared" si="7"/>
        <v>-0.001528966024</v>
      </c>
    </row>
    <row r="210">
      <c r="A210" s="54">
        <v>43630.0</v>
      </c>
      <c r="B210" s="11">
        <v>100.731</v>
      </c>
      <c r="C210" s="47">
        <f t="shared" si="3"/>
        <v>0.0001697878843</v>
      </c>
      <c r="D210" s="42">
        <v>11914.05</v>
      </c>
      <c r="E210" s="11">
        <f t="shared" si="4"/>
        <v>0.0006593203541</v>
      </c>
      <c r="F210" s="48">
        <v>7.009</v>
      </c>
      <c r="G210" s="49">
        <f t="shared" si="1"/>
        <v>0.07009</v>
      </c>
      <c r="H210" s="50">
        <f t="shared" si="2"/>
        <v>0.0001856138189</v>
      </c>
      <c r="I210" s="51">
        <f t="shared" si="5"/>
        <v>-0.0004137067469</v>
      </c>
      <c r="J210" s="53">
        <f t="shared" si="6"/>
        <v>0.0005834946312</v>
      </c>
      <c r="K210" s="40">
        <f t="shared" si="7"/>
        <v>0.001073027101</v>
      </c>
    </row>
    <row r="211">
      <c r="A211" s="54">
        <v>43633.0</v>
      </c>
      <c r="B211" s="11">
        <v>100.7911</v>
      </c>
      <c r="C211" s="47">
        <f t="shared" si="3"/>
        <v>0.000596638572</v>
      </c>
      <c r="D211" s="42">
        <v>11823.3</v>
      </c>
      <c r="E211" s="11">
        <f t="shared" si="4"/>
        <v>-0.007617057172</v>
      </c>
      <c r="F211" s="48">
        <v>6.919</v>
      </c>
      <c r="G211" s="49">
        <f t="shared" si="1"/>
        <v>0.06919</v>
      </c>
      <c r="H211" s="50">
        <f t="shared" si="2"/>
        <v>0.0001833081755</v>
      </c>
      <c r="I211" s="51">
        <f t="shared" si="5"/>
        <v>-0.01242172276</v>
      </c>
      <c r="J211" s="53">
        <f t="shared" si="6"/>
        <v>0.01301836134</v>
      </c>
      <c r="K211" s="40">
        <f t="shared" si="7"/>
        <v>0.004804665592</v>
      </c>
    </row>
    <row r="212">
      <c r="A212" s="54">
        <v>43634.0</v>
      </c>
      <c r="B212" s="11">
        <v>100.8168</v>
      </c>
      <c r="C212" s="47">
        <f t="shared" si="3"/>
        <v>0.0002549828308</v>
      </c>
      <c r="D212" s="42">
        <v>11672.15</v>
      </c>
      <c r="E212" s="11">
        <f t="shared" si="4"/>
        <v>-0.0127840789</v>
      </c>
      <c r="F212" s="48">
        <v>6.931</v>
      </c>
      <c r="G212" s="49">
        <f t="shared" si="1"/>
        <v>0.06931</v>
      </c>
      <c r="H212" s="50">
        <f t="shared" si="2"/>
        <v>0.0001836157064</v>
      </c>
      <c r="I212" s="51">
        <f t="shared" si="5"/>
        <v>0.001677671618</v>
      </c>
      <c r="J212" s="53">
        <f t="shared" si="6"/>
        <v>-0.001422688787</v>
      </c>
      <c r="K212" s="40">
        <f t="shared" si="7"/>
        <v>-0.01446175051</v>
      </c>
    </row>
    <row r="213">
      <c r="A213" s="54">
        <v>43635.0</v>
      </c>
      <c r="B213" s="11">
        <v>100.8373</v>
      </c>
      <c r="C213" s="47">
        <f t="shared" si="3"/>
        <v>0.000203339126</v>
      </c>
      <c r="D213" s="42">
        <v>11691.5</v>
      </c>
      <c r="E213" s="11">
        <f t="shared" si="4"/>
        <v>0.001657792266</v>
      </c>
      <c r="F213" s="48">
        <v>6.808</v>
      </c>
      <c r="G213" s="49">
        <f t="shared" si="1"/>
        <v>0.06808</v>
      </c>
      <c r="H213" s="50">
        <f t="shared" si="2"/>
        <v>0.0001804618816</v>
      </c>
      <c r="I213" s="51">
        <f t="shared" si="5"/>
        <v>-0.01717622581</v>
      </c>
      <c r="J213" s="53">
        <f t="shared" si="6"/>
        <v>0.01737956493</v>
      </c>
      <c r="K213" s="40">
        <f t="shared" si="7"/>
        <v>0.01883401807</v>
      </c>
    </row>
    <row r="214">
      <c r="A214" s="54">
        <v>43636.0</v>
      </c>
      <c r="B214" s="11">
        <v>100.8549</v>
      </c>
      <c r="C214" s="47">
        <f t="shared" si="3"/>
        <v>0.0001745385884</v>
      </c>
      <c r="D214" s="42">
        <v>11691.45</v>
      </c>
      <c r="E214" s="11">
        <f t="shared" si="4"/>
        <v>-0.000004276611213</v>
      </c>
      <c r="F214" s="48">
        <v>6.841</v>
      </c>
      <c r="G214" s="49">
        <f t="shared" si="1"/>
        <v>0.06841</v>
      </c>
      <c r="H214" s="50">
        <f t="shared" si="2"/>
        <v>0.0001813083851</v>
      </c>
      <c r="I214" s="51">
        <f t="shared" si="5"/>
        <v>0.004690760715</v>
      </c>
      <c r="J214" s="53">
        <f t="shared" si="6"/>
        <v>-0.004516222127</v>
      </c>
      <c r="K214" s="40">
        <f t="shared" si="7"/>
        <v>-0.004695037326</v>
      </c>
    </row>
    <row r="215">
      <c r="A215" s="54">
        <v>43637.0</v>
      </c>
      <c r="B215" s="11">
        <v>100.8717</v>
      </c>
      <c r="C215" s="47">
        <f t="shared" si="3"/>
        <v>0.0001665759423</v>
      </c>
      <c r="D215" s="42">
        <v>11831.75</v>
      </c>
      <c r="E215" s="11">
        <f t="shared" si="4"/>
        <v>0.01200022238</v>
      </c>
      <c r="F215" s="48">
        <v>6.791</v>
      </c>
      <c r="G215" s="49">
        <f t="shared" si="1"/>
        <v>0.06791</v>
      </c>
      <c r="H215" s="50">
        <f t="shared" si="2"/>
        <v>0.0001800257022</v>
      </c>
      <c r="I215" s="51">
        <f t="shared" si="5"/>
        <v>-0.007074592074</v>
      </c>
      <c r="J215" s="53">
        <f t="shared" si="6"/>
        <v>0.007241168016</v>
      </c>
      <c r="K215" s="40">
        <f t="shared" si="7"/>
        <v>0.01907481446</v>
      </c>
    </row>
    <row r="216">
      <c r="A216" s="54">
        <v>43640.0</v>
      </c>
      <c r="B216" s="11">
        <v>100.9266</v>
      </c>
      <c r="C216" s="47">
        <f t="shared" si="3"/>
        <v>0.0005442557229</v>
      </c>
      <c r="D216" s="42">
        <v>11724.1</v>
      </c>
      <c r="E216" s="11">
        <f t="shared" si="4"/>
        <v>-0.00909840049</v>
      </c>
      <c r="F216" s="48">
        <v>6.861</v>
      </c>
      <c r="G216" s="49">
        <f t="shared" si="1"/>
        <v>0.06861</v>
      </c>
      <c r="H216" s="50">
        <f t="shared" si="2"/>
        <v>0.0001818212906</v>
      </c>
      <c r="I216" s="51">
        <f t="shared" si="5"/>
        <v>0.009974066915</v>
      </c>
      <c r="J216" s="53">
        <f t="shared" si="6"/>
        <v>-0.009429811192</v>
      </c>
      <c r="K216" s="40">
        <f t="shared" si="7"/>
        <v>-0.01907246741</v>
      </c>
    </row>
    <row r="217">
      <c r="A217" s="54">
        <v>43641.0</v>
      </c>
      <c r="B217" s="11">
        <v>100.9404</v>
      </c>
      <c r="C217" s="47">
        <f t="shared" si="3"/>
        <v>0.0001367330317</v>
      </c>
      <c r="D217" s="42">
        <v>11699.65</v>
      </c>
      <c r="E217" s="11">
        <f t="shared" si="4"/>
        <v>-0.002085447924</v>
      </c>
      <c r="F217" s="48">
        <v>6.851</v>
      </c>
      <c r="G217" s="49">
        <f t="shared" si="1"/>
        <v>0.06851</v>
      </c>
      <c r="H217" s="50">
        <f t="shared" si="2"/>
        <v>0.0001815648498</v>
      </c>
      <c r="I217" s="51">
        <f t="shared" si="5"/>
        <v>-0.001410400288</v>
      </c>
      <c r="J217" s="53">
        <f t="shared" si="6"/>
        <v>0.00154713332</v>
      </c>
      <c r="K217" s="40">
        <f t="shared" si="7"/>
        <v>-0.0006750476357</v>
      </c>
    </row>
    <row r="218">
      <c r="A218" s="54">
        <v>43642.0</v>
      </c>
      <c r="B218" s="11">
        <v>100.9335</v>
      </c>
      <c r="C218" s="47">
        <f t="shared" si="3"/>
        <v>-0.00006835716918</v>
      </c>
      <c r="D218" s="42">
        <v>11796.45</v>
      </c>
      <c r="E218" s="11">
        <f t="shared" si="4"/>
        <v>0.008273751779</v>
      </c>
      <c r="F218" s="48">
        <v>6.882</v>
      </c>
      <c r="G218" s="49">
        <f t="shared" si="1"/>
        <v>0.06882</v>
      </c>
      <c r="H218" s="50">
        <f t="shared" si="2"/>
        <v>0.0001823597384</v>
      </c>
      <c r="I218" s="51">
        <f t="shared" si="5"/>
        <v>0.004377987224</v>
      </c>
      <c r="J218" s="53">
        <f t="shared" si="6"/>
        <v>-0.004446344393</v>
      </c>
      <c r="K218" s="40">
        <f t="shared" si="7"/>
        <v>0.003895764555</v>
      </c>
    </row>
    <row r="219">
      <c r="A219" s="54">
        <v>43643.0</v>
      </c>
      <c r="B219" s="11">
        <v>100.9589</v>
      </c>
      <c r="C219" s="47">
        <f t="shared" si="3"/>
        <v>0.0002516508394</v>
      </c>
      <c r="D219" s="42">
        <v>11847.55</v>
      </c>
      <c r="E219" s="11">
        <f t="shared" si="4"/>
        <v>0.004331811689</v>
      </c>
      <c r="F219" s="48">
        <v>6.933</v>
      </c>
      <c r="G219" s="49">
        <f t="shared" si="1"/>
        <v>0.06933</v>
      </c>
      <c r="H219" s="50">
        <f t="shared" si="2"/>
        <v>0.0001836669582</v>
      </c>
      <c r="I219" s="51">
        <f t="shared" si="5"/>
        <v>0.00716835756</v>
      </c>
      <c r="J219" s="53">
        <f t="shared" si="6"/>
        <v>-0.00691670672</v>
      </c>
      <c r="K219" s="40">
        <f t="shared" si="7"/>
        <v>-0.002836545871</v>
      </c>
    </row>
    <row r="220">
      <c r="A220" s="54">
        <v>43644.0</v>
      </c>
      <c r="B220" s="11">
        <v>100.4031</v>
      </c>
      <c r="C220" s="47">
        <f t="shared" si="3"/>
        <v>-0.005505210536</v>
      </c>
      <c r="D220" s="42">
        <v>11841.55</v>
      </c>
      <c r="E220" s="11">
        <f t="shared" si="4"/>
        <v>-0.0005064338197</v>
      </c>
      <c r="F220" s="48">
        <v>6.897</v>
      </c>
      <c r="G220" s="49">
        <f t="shared" si="1"/>
        <v>0.06897</v>
      </c>
      <c r="H220" s="50">
        <f t="shared" si="2"/>
        <v>0.0001827442794</v>
      </c>
      <c r="I220" s="51">
        <f t="shared" si="5"/>
        <v>-0.005023651738</v>
      </c>
      <c r="J220" s="53">
        <f t="shared" si="6"/>
        <v>-0.0004815587982</v>
      </c>
      <c r="K220" s="40">
        <f t="shared" si="7"/>
        <v>0.004517217918</v>
      </c>
    </row>
    <row r="221">
      <c r="A221" s="46">
        <v>43647.0</v>
      </c>
      <c r="B221" s="11">
        <v>100.4621</v>
      </c>
      <c r="C221" s="47">
        <f t="shared" si="3"/>
        <v>0.0005876312584</v>
      </c>
      <c r="D221" s="42">
        <v>11788.85</v>
      </c>
      <c r="E221" s="11">
        <f t="shared" si="4"/>
        <v>-0.004450430898</v>
      </c>
      <c r="F221" s="48">
        <v>6.879</v>
      </c>
      <c r="G221" s="49">
        <f t="shared" si="1"/>
        <v>0.06879</v>
      </c>
      <c r="H221" s="50">
        <f t="shared" si="2"/>
        <v>0.0001822828237</v>
      </c>
      <c r="I221" s="51">
        <f t="shared" si="5"/>
        <v>-0.002525144046</v>
      </c>
      <c r="J221" s="53">
        <f t="shared" si="6"/>
        <v>0.003112775305</v>
      </c>
      <c r="K221" s="40">
        <f t="shared" si="7"/>
        <v>-0.001925286852</v>
      </c>
    </row>
    <row r="222">
      <c r="A222" s="46">
        <v>43648.0</v>
      </c>
      <c r="B222" s="11">
        <v>100.4811</v>
      </c>
      <c r="C222" s="47">
        <f t="shared" si="3"/>
        <v>0.0001891260485</v>
      </c>
      <c r="D222" s="42">
        <v>11865.6</v>
      </c>
      <c r="E222" s="11">
        <f t="shared" si="4"/>
        <v>0.006510389054</v>
      </c>
      <c r="F222" s="48">
        <v>6.882</v>
      </c>
      <c r="G222" s="49">
        <f t="shared" si="1"/>
        <v>0.06882</v>
      </c>
      <c r="H222" s="50">
        <f t="shared" si="2"/>
        <v>0.0001823597384</v>
      </c>
      <c r="I222" s="51">
        <f t="shared" si="5"/>
        <v>0.0004219522825</v>
      </c>
      <c r="J222" s="53">
        <f t="shared" si="6"/>
        <v>-0.000232826234</v>
      </c>
      <c r="K222" s="40">
        <f t="shared" si="7"/>
        <v>0.006088436772</v>
      </c>
    </row>
    <row r="223">
      <c r="A223" s="46">
        <v>43649.0</v>
      </c>
      <c r="B223" s="11">
        <v>100.5283</v>
      </c>
      <c r="C223" s="47">
        <f t="shared" si="3"/>
        <v>0.0004697400805</v>
      </c>
      <c r="D223" s="42">
        <v>11910.3</v>
      </c>
      <c r="E223" s="11">
        <f t="shared" si="4"/>
        <v>0.003767192557</v>
      </c>
      <c r="F223" s="48">
        <v>6.846</v>
      </c>
      <c r="G223" s="49">
        <f t="shared" si="1"/>
        <v>0.06846</v>
      </c>
      <c r="H223" s="50">
        <f t="shared" si="2"/>
        <v>0.0001814366204</v>
      </c>
      <c r="I223" s="51">
        <f t="shared" si="5"/>
        <v>-0.005062071137</v>
      </c>
      <c r="J223" s="53">
        <f t="shared" si="6"/>
        <v>0.005531811218</v>
      </c>
      <c r="K223" s="40">
        <f t="shared" si="7"/>
        <v>0.008829263694</v>
      </c>
    </row>
    <row r="224">
      <c r="A224" s="46">
        <v>43650.0</v>
      </c>
      <c r="B224" s="11">
        <v>100.5746</v>
      </c>
      <c r="C224" s="47">
        <f t="shared" si="3"/>
        <v>0.0004605668255</v>
      </c>
      <c r="D224" s="42">
        <v>11916.75</v>
      </c>
      <c r="E224" s="11">
        <f t="shared" si="4"/>
        <v>0.0005415480718</v>
      </c>
      <c r="F224" s="48">
        <v>6.833</v>
      </c>
      <c r="G224" s="49">
        <f t="shared" si="1"/>
        <v>0.06833</v>
      </c>
      <c r="H224" s="50">
        <f t="shared" si="2"/>
        <v>0.000181103196</v>
      </c>
      <c r="I224" s="51">
        <f t="shared" si="5"/>
        <v>-0.001837690674</v>
      </c>
      <c r="J224" s="53">
        <f t="shared" si="6"/>
        <v>0.002298257499</v>
      </c>
      <c r="K224" s="40">
        <f t="shared" si="7"/>
        <v>0.002379238745</v>
      </c>
    </row>
    <row r="225">
      <c r="A225" s="46">
        <v>43651.0</v>
      </c>
      <c r="B225" s="11">
        <v>100.6167</v>
      </c>
      <c r="C225" s="47">
        <f t="shared" si="3"/>
        <v>0.0004185947545</v>
      </c>
      <c r="D225" s="42">
        <v>11946.75</v>
      </c>
      <c r="E225" s="11">
        <f t="shared" si="4"/>
        <v>0.002517464913</v>
      </c>
      <c r="F225" s="48">
        <v>6.751</v>
      </c>
      <c r="G225" s="49">
        <f t="shared" si="1"/>
        <v>0.06751</v>
      </c>
      <c r="H225" s="50">
        <f t="shared" si="2"/>
        <v>0.0001789991246</v>
      </c>
      <c r="I225" s="51">
        <f t="shared" si="5"/>
        <v>-0.01161808</v>
      </c>
      <c r="J225" s="53">
        <f t="shared" si="6"/>
        <v>0.01203667476</v>
      </c>
      <c r="K225" s="40">
        <f t="shared" si="7"/>
        <v>0.01413554492</v>
      </c>
    </row>
    <row r="226">
      <c r="A226" s="46">
        <v>43654.0</v>
      </c>
      <c r="B226" s="11">
        <v>100.682</v>
      </c>
      <c r="C226" s="47">
        <f t="shared" si="3"/>
        <v>0.0006489976316</v>
      </c>
      <c r="D226" s="42">
        <v>11811.15</v>
      </c>
      <c r="E226" s="11">
        <f t="shared" si="4"/>
        <v>-0.01135036725</v>
      </c>
      <c r="F226" s="48">
        <v>6.695</v>
      </c>
      <c r="G226" s="49">
        <f t="shared" si="1"/>
        <v>0.06695</v>
      </c>
      <c r="H226" s="50">
        <f t="shared" si="2"/>
        <v>0.0001775612714</v>
      </c>
      <c r="I226" s="51">
        <f t="shared" si="5"/>
        <v>-0.008032739069</v>
      </c>
      <c r="J226" s="53">
        <f t="shared" si="6"/>
        <v>0.0086817367</v>
      </c>
      <c r="K226" s="40">
        <f t="shared" si="7"/>
        <v>-0.003317628186</v>
      </c>
    </row>
    <row r="227">
      <c r="A227" s="46">
        <v>43655.0</v>
      </c>
      <c r="B227" s="11">
        <v>100.7156</v>
      </c>
      <c r="C227" s="47">
        <f t="shared" si="3"/>
        <v>0.0003337240023</v>
      </c>
      <c r="D227" s="42">
        <v>11558.6</v>
      </c>
      <c r="E227" s="11">
        <f t="shared" si="4"/>
        <v>-0.02138233788</v>
      </c>
      <c r="F227" s="48">
        <v>6.562</v>
      </c>
      <c r="G227" s="49">
        <f t="shared" si="1"/>
        <v>0.06562</v>
      </c>
      <c r="H227" s="50">
        <f t="shared" si="2"/>
        <v>0.0001741433513</v>
      </c>
      <c r="I227" s="51">
        <f t="shared" si="5"/>
        <v>-0.01924924287</v>
      </c>
      <c r="J227" s="53">
        <f t="shared" si="6"/>
        <v>0.01958296687</v>
      </c>
      <c r="K227" s="40">
        <f t="shared" si="7"/>
        <v>-0.002133095008</v>
      </c>
    </row>
    <row r="228">
      <c r="A228" s="54">
        <v>43656.0</v>
      </c>
      <c r="B228" s="11">
        <v>100.7641</v>
      </c>
      <c r="C228" s="47">
        <f t="shared" si="3"/>
        <v>0.0004815539996</v>
      </c>
      <c r="D228" s="42">
        <v>11555.9</v>
      </c>
      <c r="E228" s="11">
        <f t="shared" si="4"/>
        <v>-0.0002335923036</v>
      </c>
      <c r="F228" s="48">
        <v>6.588</v>
      </c>
      <c r="G228" s="49">
        <f t="shared" si="1"/>
        <v>0.06588</v>
      </c>
      <c r="H228" s="50">
        <f t="shared" si="2"/>
        <v>0.0001748118506</v>
      </c>
      <c r="I228" s="51">
        <f t="shared" si="5"/>
        <v>0.003838786992</v>
      </c>
      <c r="J228" s="53">
        <f t="shared" si="6"/>
        <v>-0.003357232992</v>
      </c>
      <c r="K228" s="40">
        <f t="shared" si="7"/>
        <v>-0.004072379295</v>
      </c>
    </row>
    <row r="229">
      <c r="A229" s="54">
        <v>43657.0</v>
      </c>
      <c r="B229" s="11">
        <v>100.8029</v>
      </c>
      <c r="C229" s="47">
        <f t="shared" si="3"/>
        <v>0.0003850577736</v>
      </c>
      <c r="D229" s="42">
        <v>11498.9</v>
      </c>
      <c r="E229" s="11">
        <f t="shared" si="4"/>
        <v>-0.00493254528</v>
      </c>
      <c r="F229" s="48">
        <v>6.543</v>
      </c>
      <c r="G229" s="49">
        <f t="shared" si="1"/>
        <v>0.06543</v>
      </c>
      <c r="H229" s="50">
        <f t="shared" si="2"/>
        <v>0.0001736547298</v>
      </c>
      <c r="I229" s="51">
        <f t="shared" si="5"/>
        <v>-0.006619235314</v>
      </c>
      <c r="J229" s="53">
        <f t="shared" si="6"/>
        <v>0.007004293088</v>
      </c>
      <c r="K229" s="40">
        <f t="shared" si="7"/>
        <v>0.001686690034</v>
      </c>
    </row>
    <row r="230">
      <c r="A230" s="54">
        <v>43658.0</v>
      </c>
      <c r="B230" s="11">
        <v>100.8295</v>
      </c>
      <c r="C230" s="47">
        <f t="shared" si="3"/>
        <v>0.0002638812971</v>
      </c>
      <c r="D230" s="42">
        <v>11582.9</v>
      </c>
      <c r="E230" s="11">
        <f t="shared" si="4"/>
        <v>0.00730504657</v>
      </c>
      <c r="F230" s="48">
        <v>6.493</v>
      </c>
      <c r="G230" s="49">
        <f t="shared" si="1"/>
        <v>0.06493</v>
      </c>
      <c r="H230" s="50">
        <f t="shared" si="2"/>
        <v>0.0001723684683</v>
      </c>
      <c r="I230" s="51">
        <f t="shared" si="5"/>
        <v>-0.007407005366</v>
      </c>
      <c r="J230" s="53">
        <f t="shared" si="6"/>
        <v>0.007670886663</v>
      </c>
      <c r="K230" s="40">
        <f t="shared" si="7"/>
        <v>0.01471205194</v>
      </c>
    </row>
    <row r="231">
      <c r="A231" s="54">
        <v>43661.0</v>
      </c>
      <c r="B231" s="11">
        <v>100.8983</v>
      </c>
      <c r="C231" s="47">
        <f t="shared" si="3"/>
        <v>0.0006823399898</v>
      </c>
      <c r="D231" s="42">
        <v>11552.5</v>
      </c>
      <c r="E231" s="11">
        <f t="shared" si="4"/>
        <v>-0.002624558617</v>
      </c>
      <c r="F231" s="48">
        <v>6.488</v>
      </c>
      <c r="G231" s="49">
        <f t="shared" si="1"/>
        <v>0.06488</v>
      </c>
      <c r="H231" s="50">
        <f t="shared" si="2"/>
        <v>0.000172239809</v>
      </c>
      <c r="I231" s="51">
        <f t="shared" si="5"/>
        <v>-0.0007464200144</v>
      </c>
      <c r="J231" s="53">
        <f t="shared" si="6"/>
        <v>0.001428760004</v>
      </c>
      <c r="K231" s="40">
        <f t="shared" si="7"/>
        <v>-0.001878138602</v>
      </c>
    </row>
    <row r="232">
      <c r="A232" s="54">
        <v>43662.0</v>
      </c>
      <c r="B232" s="11">
        <v>100.9734</v>
      </c>
      <c r="C232" s="47">
        <f t="shared" si="3"/>
        <v>0.0007443138289</v>
      </c>
      <c r="D232" s="42">
        <v>11588.35</v>
      </c>
      <c r="E232" s="11">
        <f t="shared" si="4"/>
        <v>0.00310322441</v>
      </c>
      <c r="F232" s="48">
        <v>6.433</v>
      </c>
      <c r="G232" s="49">
        <f t="shared" si="1"/>
        <v>0.06433</v>
      </c>
      <c r="H232" s="50">
        <f t="shared" si="2"/>
        <v>0.0001708241592</v>
      </c>
      <c r="I232" s="51">
        <f t="shared" si="5"/>
        <v>-0.008219062576</v>
      </c>
      <c r="J232" s="53">
        <f t="shared" si="6"/>
        <v>0.008963376404</v>
      </c>
      <c r="K232" s="40">
        <f t="shared" si="7"/>
        <v>0.01132228699</v>
      </c>
    </row>
    <row r="233">
      <c r="A233" s="54">
        <v>43663.0</v>
      </c>
      <c r="B233" s="11">
        <v>101.0237</v>
      </c>
      <c r="C233" s="47">
        <f t="shared" si="3"/>
        <v>0.0004981509982</v>
      </c>
      <c r="D233" s="42">
        <v>11662.6</v>
      </c>
      <c r="E233" s="11">
        <f t="shared" si="4"/>
        <v>0.006407296984</v>
      </c>
      <c r="F233" s="48">
        <v>6.331</v>
      </c>
      <c r="G233" s="49">
        <f t="shared" si="1"/>
        <v>0.06331</v>
      </c>
      <c r="H233" s="50">
        <f t="shared" si="2"/>
        <v>0.0001681968403</v>
      </c>
      <c r="I233" s="51">
        <f t="shared" si="5"/>
        <v>-0.01538025405</v>
      </c>
      <c r="J233" s="53">
        <f t="shared" si="6"/>
        <v>0.01587840505</v>
      </c>
      <c r="K233" s="40">
        <f t="shared" si="7"/>
        <v>0.02178755103</v>
      </c>
    </row>
    <row r="234">
      <c r="A234" s="54">
        <v>43664.0</v>
      </c>
      <c r="B234" s="11">
        <v>101.0411</v>
      </c>
      <c r="C234" s="47">
        <f t="shared" si="3"/>
        <v>0.0001722368118</v>
      </c>
      <c r="D234" s="42">
        <v>11687.5</v>
      </c>
      <c r="E234" s="11">
        <f t="shared" si="4"/>
        <v>0.002135029925</v>
      </c>
      <c r="F234" s="48">
        <v>6.345</v>
      </c>
      <c r="G234" s="49">
        <f t="shared" si="1"/>
        <v>0.06345</v>
      </c>
      <c r="H234" s="50">
        <f t="shared" si="2"/>
        <v>0.0001685576014</v>
      </c>
      <c r="I234" s="51">
        <f t="shared" si="5"/>
        <v>0.002144874916</v>
      </c>
      <c r="J234" s="53">
        <f t="shared" si="6"/>
        <v>-0.001972638104</v>
      </c>
      <c r="K234" s="40">
        <f t="shared" si="7"/>
        <v>-0.000009844991178</v>
      </c>
    </row>
    <row r="235">
      <c r="A235" s="54">
        <v>43665.0</v>
      </c>
      <c r="B235" s="11">
        <v>101.0496</v>
      </c>
      <c r="C235" s="47">
        <f t="shared" si="3"/>
        <v>0.00008412418313</v>
      </c>
      <c r="D235" s="42">
        <v>11596.9</v>
      </c>
      <c r="E235" s="11">
        <f t="shared" si="4"/>
        <v>-0.007751871658</v>
      </c>
      <c r="F235" s="48">
        <v>6.387</v>
      </c>
      <c r="G235" s="49">
        <f t="shared" si="1"/>
        <v>0.06387</v>
      </c>
      <c r="H235" s="50">
        <f t="shared" si="2"/>
        <v>0.0001696396009</v>
      </c>
      <c r="I235" s="51">
        <f t="shared" si="5"/>
        <v>0.006419167289</v>
      </c>
      <c r="J235" s="53">
        <f t="shared" si="6"/>
        <v>-0.006335043105</v>
      </c>
      <c r="K235" s="40">
        <f t="shared" si="7"/>
        <v>-0.01417103895</v>
      </c>
    </row>
    <row r="236">
      <c r="A236" s="54">
        <v>43668.0</v>
      </c>
      <c r="B236" s="11">
        <v>101.0894</v>
      </c>
      <c r="C236" s="47">
        <f t="shared" si="3"/>
        <v>0.0003938659826</v>
      </c>
      <c r="D236" s="42">
        <v>11419.25</v>
      </c>
      <c r="E236" s="11">
        <f t="shared" si="4"/>
        <v>-0.01531874898</v>
      </c>
      <c r="F236" s="48">
        <v>6.361</v>
      </c>
      <c r="G236" s="49">
        <f t="shared" si="1"/>
        <v>0.06361</v>
      </c>
      <c r="H236" s="50">
        <f t="shared" si="2"/>
        <v>0.0001689698419</v>
      </c>
      <c r="I236" s="51">
        <f t="shared" si="5"/>
        <v>-0.003948128463</v>
      </c>
      <c r="J236" s="53">
        <f t="shared" si="6"/>
        <v>0.004341994446</v>
      </c>
      <c r="K236" s="40">
        <f t="shared" si="7"/>
        <v>-0.01137062051</v>
      </c>
    </row>
    <row r="237">
      <c r="A237" s="54">
        <v>43669.0</v>
      </c>
      <c r="B237" s="11">
        <v>101.0934</v>
      </c>
      <c r="C237" s="47">
        <f t="shared" si="3"/>
        <v>0.00003956893601</v>
      </c>
      <c r="D237" s="42">
        <v>11346.2</v>
      </c>
      <c r="E237" s="11">
        <f t="shared" si="4"/>
        <v>-0.006397092629</v>
      </c>
      <c r="F237" s="48">
        <v>6.418</v>
      </c>
      <c r="G237" s="49">
        <f t="shared" si="1"/>
        <v>0.06418</v>
      </c>
      <c r="H237" s="50">
        <f t="shared" si="2"/>
        <v>0.0001704379463</v>
      </c>
      <c r="I237" s="51">
        <f t="shared" si="5"/>
        <v>0.008688558532</v>
      </c>
      <c r="J237" s="53">
        <f t="shared" si="6"/>
        <v>-0.008648989596</v>
      </c>
      <c r="K237" s="40">
        <f t="shared" si="7"/>
        <v>-0.01508565116</v>
      </c>
    </row>
    <row r="238">
      <c r="A238" s="54">
        <v>43670.0</v>
      </c>
      <c r="B238" s="11">
        <v>101.1109</v>
      </c>
      <c r="C238" s="47">
        <f t="shared" si="3"/>
        <v>0.0001731072454</v>
      </c>
      <c r="D238" s="42">
        <v>11331.05</v>
      </c>
      <c r="E238" s="11">
        <f t="shared" si="4"/>
        <v>-0.001335248806</v>
      </c>
      <c r="F238" s="48">
        <v>6.464</v>
      </c>
      <c r="G238" s="49">
        <f t="shared" si="1"/>
        <v>0.06464</v>
      </c>
      <c r="H238" s="50">
        <f t="shared" si="2"/>
        <v>0.0001716221606</v>
      </c>
      <c r="I238" s="51">
        <f t="shared" si="5"/>
        <v>0.00694806714</v>
      </c>
      <c r="J238" s="53">
        <f t="shared" si="6"/>
        <v>-0.006774959895</v>
      </c>
      <c r="K238" s="40">
        <f t="shared" si="7"/>
        <v>-0.008283315946</v>
      </c>
    </row>
    <row r="239">
      <c r="A239" s="54">
        <v>43671.0</v>
      </c>
      <c r="B239" s="11">
        <v>101.1293</v>
      </c>
      <c r="C239" s="47">
        <f t="shared" si="3"/>
        <v>0.0001819784019</v>
      </c>
      <c r="D239" s="42">
        <v>11271.3</v>
      </c>
      <c r="E239" s="11">
        <f t="shared" si="4"/>
        <v>-0.005273121202</v>
      </c>
      <c r="F239" s="48">
        <v>6.438</v>
      </c>
      <c r="G239" s="49">
        <f t="shared" si="1"/>
        <v>0.06438</v>
      </c>
      <c r="H239" s="50">
        <f t="shared" si="2"/>
        <v>0.0001709528848</v>
      </c>
      <c r="I239" s="51">
        <f t="shared" si="5"/>
        <v>-0.003899705023</v>
      </c>
      <c r="J239" s="53">
        <f t="shared" si="6"/>
        <v>0.004081683424</v>
      </c>
      <c r="K239" s="40">
        <f t="shared" si="7"/>
        <v>-0.00137341618</v>
      </c>
    </row>
    <row r="240">
      <c r="A240" s="54">
        <v>43672.0</v>
      </c>
      <c r="B240" s="11">
        <v>101.1477</v>
      </c>
      <c r="C240" s="47">
        <f t="shared" si="3"/>
        <v>0.0001819452918</v>
      </c>
      <c r="D240" s="42">
        <v>11252.15</v>
      </c>
      <c r="E240" s="11">
        <f t="shared" si="4"/>
        <v>-0.001699005439</v>
      </c>
      <c r="F240" s="48">
        <v>6.514</v>
      </c>
      <c r="G240" s="49">
        <f t="shared" si="1"/>
        <v>0.06514</v>
      </c>
      <c r="H240" s="50">
        <f t="shared" si="2"/>
        <v>0.0001729087714</v>
      </c>
      <c r="I240" s="51">
        <f t="shared" si="5"/>
        <v>0.01144108592</v>
      </c>
      <c r="J240" s="53">
        <f t="shared" si="6"/>
        <v>-0.01125914063</v>
      </c>
      <c r="K240" s="40">
        <f t="shared" si="7"/>
        <v>-0.01314009136</v>
      </c>
    </row>
    <row r="241">
      <c r="A241" s="54">
        <v>43675.0</v>
      </c>
      <c r="B241" s="11">
        <v>101.2127</v>
      </c>
      <c r="C241" s="47">
        <f t="shared" si="3"/>
        <v>0.0006426245975</v>
      </c>
      <c r="D241" s="42">
        <v>11284.3</v>
      </c>
      <c r="E241" s="11">
        <f t="shared" si="4"/>
        <v>0.002857231729</v>
      </c>
      <c r="F241" s="48">
        <v>6.525</v>
      </c>
      <c r="G241" s="49">
        <f t="shared" si="1"/>
        <v>0.06525</v>
      </c>
      <c r="H241" s="50">
        <f t="shared" si="2"/>
        <v>0.000173191745</v>
      </c>
      <c r="I241" s="51">
        <f t="shared" si="5"/>
        <v>0.001636548291</v>
      </c>
      <c r="J241" s="53">
        <f t="shared" si="6"/>
        <v>-0.0009939236933</v>
      </c>
      <c r="K241" s="40">
        <f t="shared" si="7"/>
        <v>0.001220683438</v>
      </c>
    </row>
    <row r="242">
      <c r="A242" s="54">
        <v>43676.0</v>
      </c>
      <c r="B242" s="11">
        <v>101.2549</v>
      </c>
      <c r="C242" s="47">
        <f t="shared" si="3"/>
        <v>0.0004169437235</v>
      </c>
      <c r="D242" s="42">
        <v>11189.2</v>
      </c>
      <c r="E242" s="11">
        <f t="shared" si="4"/>
        <v>-0.0084276384</v>
      </c>
      <c r="F242" s="48">
        <v>6.412</v>
      </c>
      <c r="G242" s="49">
        <f t="shared" si="1"/>
        <v>0.06412</v>
      </c>
      <c r="H242" s="50">
        <f t="shared" si="2"/>
        <v>0.0001702834459</v>
      </c>
      <c r="I242" s="51">
        <f t="shared" si="5"/>
        <v>-0.01679236535</v>
      </c>
      <c r="J242" s="53">
        <f t="shared" si="6"/>
        <v>0.01720930907</v>
      </c>
      <c r="K242" s="40">
        <f t="shared" si="7"/>
        <v>0.008364726951</v>
      </c>
    </row>
    <row r="243">
      <c r="A243" s="54">
        <v>43677.0</v>
      </c>
      <c r="B243" s="11">
        <v>100.4142</v>
      </c>
      <c r="C243" s="47">
        <f t="shared" si="3"/>
        <v>-0.008302808062</v>
      </c>
      <c r="D243" s="42">
        <v>11085.4</v>
      </c>
      <c r="E243" s="11">
        <f t="shared" si="4"/>
        <v>-0.009276802631</v>
      </c>
      <c r="F243" s="48">
        <v>6.387</v>
      </c>
      <c r="G243" s="49">
        <f t="shared" si="1"/>
        <v>0.06387</v>
      </c>
      <c r="H243" s="50">
        <f t="shared" si="2"/>
        <v>0.0001696396009</v>
      </c>
      <c r="I243" s="51">
        <f t="shared" si="5"/>
        <v>-0.003781019664</v>
      </c>
      <c r="J243" s="53">
        <f t="shared" si="6"/>
        <v>-0.004521788398</v>
      </c>
      <c r="K243" s="40">
        <f t="shared" si="7"/>
        <v>-0.005495782967</v>
      </c>
    </row>
    <row r="244">
      <c r="A244" s="86">
        <v>43678.0</v>
      </c>
      <c r="B244" s="87">
        <v>100.4697</v>
      </c>
      <c r="C244" s="88">
        <f t="shared" si="3"/>
        <v>0.0005527106724</v>
      </c>
      <c r="D244" s="69">
        <v>11118.0</v>
      </c>
      <c r="E244" s="11">
        <f t="shared" si="4"/>
        <v>0.002940805023</v>
      </c>
      <c r="F244" s="48">
        <v>6.369</v>
      </c>
      <c r="G244" s="49">
        <f t="shared" si="1"/>
        <v>0.06369</v>
      </c>
      <c r="H244" s="50">
        <f t="shared" si="2"/>
        <v>0.000169175939</v>
      </c>
      <c r="I244" s="51">
        <f t="shared" si="5"/>
        <v>-0.002733217202</v>
      </c>
      <c r="J244" s="53">
        <f t="shared" si="6"/>
        <v>0.003285927875</v>
      </c>
      <c r="K244" s="40">
        <f t="shared" si="7"/>
        <v>0.005674022225</v>
      </c>
    </row>
    <row r="245">
      <c r="D245" s="90"/>
      <c r="E245" s="91"/>
      <c r="F245" s="92"/>
      <c r="G245" s="93"/>
      <c r="H245" s="94"/>
      <c r="I245" s="95"/>
      <c r="J245" s="96"/>
      <c r="K245" s="97"/>
    </row>
    <row r="246">
      <c r="E246" s="11"/>
      <c r="F246" s="5"/>
      <c r="G246" s="5"/>
      <c r="H246" s="9"/>
      <c r="I246" s="10"/>
      <c r="K246" s="5"/>
    </row>
    <row r="247">
      <c r="E247" s="11"/>
      <c r="F247" s="5"/>
      <c r="G247" s="5"/>
      <c r="H247" s="9"/>
      <c r="I247" s="10"/>
      <c r="K247" s="5"/>
    </row>
    <row r="248">
      <c r="A248" s="62" t="s">
        <v>45</v>
      </c>
      <c r="C248" s="65">
        <f>average(C5:C244)</f>
        <v>-0.0000003981574023</v>
      </c>
      <c r="E248" s="77">
        <f t="shared" ref="E248:I248" si="8">AVERAGE(E4:E245)</f>
        <v>-0.00004676795899</v>
      </c>
      <c r="F248" s="5">
        <f t="shared" si="8"/>
        <v>7.462742739</v>
      </c>
      <c r="G248" s="5">
        <f t="shared" si="8"/>
        <v>0.07462742739</v>
      </c>
      <c r="H248" s="5">
        <f t="shared" si="8"/>
        <v>0.0001971863265</v>
      </c>
      <c r="I248" s="77">
        <f t="shared" si="8"/>
        <v>-0.0007441156366</v>
      </c>
      <c r="K248" s="5">
        <f>AVERAGE(K4:K245)</f>
        <v>0.0006973476777</v>
      </c>
    </row>
    <row r="249">
      <c r="A249" s="62" t="s">
        <v>46</v>
      </c>
      <c r="C249" s="65">
        <f>STDEV(C5:C244)</f>
        <v>0.001531863132</v>
      </c>
      <c r="E249" s="5">
        <f t="shared" ref="E249:I249" si="9">STDEV(E4:E245)</f>
        <v>0.008724989007</v>
      </c>
      <c r="F249" s="5">
        <f t="shared" si="9"/>
        <v>0.4337925966</v>
      </c>
      <c r="G249" s="5">
        <f t="shared" si="9"/>
        <v>0.004337925966</v>
      </c>
      <c r="H249" s="5">
        <f t="shared" si="9"/>
        <v>0.0000110789218</v>
      </c>
      <c r="I249" s="5">
        <f t="shared" si="9"/>
        <v>0.006446924834</v>
      </c>
      <c r="K249" s="5">
        <f>STDEV(K4:K245)</f>
        <v>0.01140930527</v>
      </c>
    </row>
    <row r="250">
      <c r="A250" s="62" t="s">
        <v>47</v>
      </c>
      <c r="C250" s="65">
        <f>INTERCEPT(C5:C244,E5:E244)</f>
        <v>-0.000000539292007</v>
      </c>
      <c r="E250" s="11"/>
      <c r="F250" s="5"/>
      <c r="G250" s="5"/>
      <c r="H250" s="9"/>
      <c r="I250" s="10"/>
      <c r="K250" s="5"/>
    </row>
    <row r="251">
      <c r="A251" s="62" t="s">
        <v>48</v>
      </c>
      <c r="C251" s="65">
        <f>SLOPE(C5:C244,E5:E244)</f>
        <v>-0.003017762755</v>
      </c>
      <c r="E251" s="11"/>
      <c r="F251" s="5"/>
      <c r="G251" s="5"/>
      <c r="H251" s="9"/>
      <c r="I251" s="10"/>
      <c r="K251" s="5"/>
    </row>
    <row r="252">
      <c r="A252" s="62" t="s">
        <v>53</v>
      </c>
      <c r="C252" s="65">
        <f>(C248-I248)/C251</f>
        <v>-0.246446636</v>
      </c>
      <c r="E252" s="99">
        <f>(E248-I248)</f>
        <v>0.0006973476777</v>
      </c>
      <c r="F252" s="5"/>
      <c r="G252" s="5"/>
      <c r="H252" s="9"/>
      <c r="I252" s="10"/>
      <c r="K252" s="5"/>
    </row>
    <row r="253">
      <c r="A253" s="62" t="s">
        <v>56</v>
      </c>
      <c r="C253" s="65">
        <f>(C248-I248)/C249</f>
        <v>0.4854986479</v>
      </c>
      <c r="E253" s="11">
        <f>(E248-I248)/E249</f>
        <v>0.07992533596</v>
      </c>
      <c r="F253" s="5"/>
      <c r="G253" s="5"/>
      <c r="H253" s="9"/>
      <c r="I253" s="10"/>
      <c r="K253" s="5"/>
    </row>
    <row r="254">
      <c r="A254" s="62" t="s">
        <v>58</v>
      </c>
      <c r="C254" s="65">
        <f>INTERCEPT(J5:J245,K5:K245)</f>
        <v>0.0004870769095</v>
      </c>
      <c r="E254" s="11">
        <v>0.0</v>
      </c>
      <c r="H254" s="9"/>
      <c r="I254" s="10"/>
      <c r="K254" s="5"/>
    </row>
    <row r="255">
      <c r="C255" s="101">
        <f>C248-(I248+C251*(E248-I248))</f>
        <v>0.0007458219091</v>
      </c>
      <c r="E255" s="11"/>
      <c r="K255" s="5"/>
    </row>
    <row r="256">
      <c r="A256" s="62" t="s">
        <v>60</v>
      </c>
      <c r="C256" s="65">
        <f>E249*(C253-E253)</f>
        <v>0.003538622688</v>
      </c>
      <c r="E256" s="11"/>
      <c r="K256" s="5"/>
    </row>
    <row r="257">
      <c r="E257" s="11"/>
      <c r="K257" s="5"/>
    </row>
    <row r="258">
      <c r="E258" s="11"/>
      <c r="K258" s="5"/>
    </row>
    <row r="259">
      <c r="K259" s="5"/>
    </row>
    <row r="260">
      <c r="K260" s="5"/>
    </row>
    <row r="261">
      <c r="K261" s="5"/>
    </row>
    <row r="262">
      <c r="K26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15.5"/>
    <col customWidth="1" min="5" max="5" width="13.75"/>
    <col customWidth="1" min="6" max="6" width="12.13"/>
    <col customWidth="1" min="7" max="8" width="13.25"/>
    <col customWidth="1" min="9" max="9" width="14.5"/>
    <col customWidth="1" min="10" max="10" width="13.75"/>
  </cols>
  <sheetData>
    <row r="1">
      <c r="A1" s="2"/>
      <c r="B1" s="2" t="s">
        <v>3</v>
      </c>
      <c r="C1" s="5"/>
      <c r="D1" s="5"/>
      <c r="E1" s="5"/>
      <c r="F1" s="5"/>
      <c r="G1" s="5"/>
      <c r="H1" s="9"/>
      <c r="I1" s="10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/>
      <c r="B2" s="2"/>
      <c r="C2" s="5"/>
      <c r="D2" s="5"/>
      <c r="E2" s="5"/>
      <c r="F2" s="5"/>
      <c r="G2" s="5"/>
      <c r="H2" s="9"/>
      <c r="I2" s="10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75" customHeight="1">
      <c r="A3" s="19" t="s">
        <v>0</v>
      </c>
      <c r="B3" s="22" t="s">
        <v>13</v>
      </c>
      <c r="C3" s="23" t="s">
        <v>14</v>
      </c>
      <c r="D3" s="22" t="s">
        <v>16</v>
      </c>
      <c r="E3" s="23" t="s">
        <v>17</v>
      </c>
      <c r="F3" s="22" t="s">
        <v>18</v>
      </c>
      <c r="G3" s="26" t="s">
        <v>19</v>
      </c>
      <c r="H3" s="29" t="s">
        <v>21</v>
      </c>
      <c r="I3" s="31" t="s">
        <v>22</v>
      </c>
      <c r="J3" s="22" t="s">
        <v>24</v>
      </c>
      <c r="K3" s="34" t="s">
        <v>25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7">
        <v>43313.0</v>
      </c>
      <c r="B4" s="39">
        <v>23.3781</v>
      </c>
      <c r="C4" s="40"/>
      <c r="D4" s="42">
        <v>11346.2</v>
      </c>
      <c r="E4" s="40"/>
      <c r="F4" s="43">
        <v>7.701</v>
      </c>
      <c r="G4" s="49">
        <f t="shared" ref="G4:G245" si="1">F4/100</f>
        <v>0.07701</v>
      </c>
      <c r="H4" s="50">
        <f t="shared" ref="H4:H245" si="2">(1+G4)^(1/365) - 1</f>
        <v>0.0002032773243</v>
      </c>
      <c r="I4" s="51"/>
      <c r="J4" s="52"/>
      <c r="K4" s="4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7">
        <v>43314.0</v>
      </c>
      <c r="B5" s="39">
        <v>23.1728</v>
      </c>
      <c r="C5" s="40">
        <f t="shared" ref="C5:C245" si="3">(B5-B4)/B4</f>
        <v>-0.008781723066</v>
      </c>
      <c r="D5" s="42">
        <v>11244.7</v>
      </c>
      <c r="E5" s="40">
        <f t="shared" ref="E5:E245" si="4">(D5-D4)/D4</f>
        <v>-0.008945726322</v>
      </c>
      <c r="F5" s="43">
        <v>7.721</v>
      </c>
      <c r="G5" s="49">
        <f t="shared" si="1"/>
        <v>0.07721</v>
      </c>
      <c r="H5" s="50">
        <f t="shared" si="2"/>
        <v>0.0002037861458</v>
      </c>
      <c r="I5" s="51">
        <f t="shared" ref="I5:I245" si="5">(H5-H4)/H4</f>
        <v>0.002503090332</v>
      </c>
      <c r="J5" s="52">
        <f t="shared" ref="J5:J245" si="6">C5-I5</f>
        <v>-0.0112848134</v>
      </c>
      <c r="K5" s="40">
        <f t="shared" ref="K5:K245" si="7">E5-I5</f>
        <v>-0.01144881665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7">
        <v>43315.0</v>
      </c>
      <c r="B6" s="39">
        <v>23.4111</v>
      </c>
      <c r="C6" s="40">
        <f t="shared" si="3"/>
        <v>0.01028360837</v>
      </c>
      <c r="D6" s="42">
        <v>11360.8</v>
      </c>
      <c r="E6" s="40">
        <f t="shared" si="4"/>
        <v>0.01032486416</v>
      </c>
      <c r="F6" s="43">
        <v>7.763</v>
      </c>
      <c r="G6" s="49">
        <f t="shared" si="1"/>
        <v>0.07763</v>
      </c>
      <c r="H6" s="50">
        <f t="shared" si="2"/>
        <v>0.0002048543644</v>
      </c>
      <c r="I6" s="51">
        <f t="shared" si="5"/>
        <v>0.00524186062</v>
      </c>
      <c r="J6" s="52">
        <f t="shared" si="6"/>
        <v>0.005041747749</v>
      </c>
      <c r="K6" s="40">
        <f t="shared" si="7"/>
        <v>0.005083003538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7">
        <v>43318.0</v>
      </c>
      <c r="B7" s="39">
        <v>23.4648</v>
      </c>
      <c r="C7" s="40">
        <f t="shared" si="3"/>
        <v>0.002293783718</v>
      </c>
      <c r="D7" s="42">
        <v>11387.1</v>
      </c>
      <c r="E7" s="40">
        <f t="shared" si="4"/>
        <v>0.002314977818</v>
      </c>
      <c r="F7" s="43">
        <v>7.768</v>
      </c>
      <c r="G7" s="49">
        <f t="shared" si="1"/>
        <v>0.07768</v>
      </c>
      <c r="H7" s="50">
        <f t="shared" si="2"/>
        <v>0.0002049815056</v>
      </c>
      <c r="I7" s="51">
        <f t="shared" si="5"/>
        <v>0.0006206419915</v>
      </c>
      <c r="J7" s="52">
        <f t="shared" si="6"/>
        <v>0.001673141727</v>
      </c>
      <c r="K7" s="40">
        <f t="shared" si="7"/>
        <v>0.001694335827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7">
        <v>43319.0</v>
      </c>
      <c r="B8" s="39">
        <v>23.4697</v>
      </c>
      <c r="C8" s="40">
        <f t="shared" si="3"/>
        <v>0.0002088234291</v>
      </c>
      <c r="D8" s="42">
        <v>11389.45</v>
      </c>
      <c r="E8" s="40">
        <f t="shared" si="4"/>
        <v>0.0002063738792</v>
      </c>
      <c r="F8" s="43">
        <v>7.786</v>
      </c>
      <c r="G8" s="49">
        <f t="shared" si="1"/>
        <v>0.07786</v>
      </c>
      <c r="H8" s="50">
        <f t="shared" si="2"/>
        <v>0.0002054391653</v>
      </c>
      <c r="I8" s="51">
        <f t="shared" si="5"/>
        <v>0.002232687725</v>
      </c>
      <c r="J8" s="52">
        <f t="shared" si="6"/>
        <v>-0.002023864296</v>
      </c>
      <c r="K8" s="40">
        <f t="shared" si="7"/>
        <v>-0.002026313846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7">
        <v>43320.0</v>
      </c>
      <c r="B9" s="39">
        <v>23.5931</v>
      </c>
      <c r="C9" s="40">
        <f t="shared" si="3"/>
        <v>0.005257843091</v>
      </c>
      <c r="D9" s="42">
        <v>11450.0</v>
      </c>
      <c r="E9" s="40">
        <f t="shared" si="4"/>
        <v>0.00531632344</v>
      </c>
      <c r="F9" s="43">
        <v>7.782</v>
      </c>
      <c r="G9" s="49">
        <f t="shared" si="1"/>
        <v>0.07782</v>
      </c>
      <c r="H9" s="50">
        <f t="shared" si="2"/>
        <v>0.0002053374697</v>
      </c>
      <c r="I9" s="51">
        <f t="shared" si="5"/>
        <v>-0.0004950154771</v>
      </c>
      <c r="J9" s="52">
        <f t="shared" si="6"/>
        <v>0.005752858568</v>
      </c>
      <c r="K9" s="40">
        <f t="shared" si="7"/>
        <v>0.005811338917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7">
        <v>43321.0</v>
      </c>
      <c r="B10" s="39">
        <v>23.6369</v>
      </c>
      <c r="C10" s="40">
        <f t="shared" si="3"/>
        <v>0.001856474986</v>
      </c>
      <c r="D10" s="42">
        <v>11470.7</v>
      </c>
      <c r="E10" s="40">
        <f t="shared" si="4"/>
        <v>0.001807860262</v>
      </c>
      <c r="F10" s="43">
        <v>7.745</v>
      </c>
      <c r="G10" s="49">
        <f t="shared" si="1"/>
        <v>0.07745</v>
      </c>
      <c r="H10" s="50">
        <f t="shared" si="2"/>
        <v>0.0002043966073</v>
      </c>
      <c r="I10" s="51">
        <f t="shared" si="5"/>
        <v>-0.004582030051</v>
      </c>
      <c r="J10" s="52">
        <f t="shared" si="6"/>
        <v>0.006438505037</v>
      </c>
      <c r="K10" s="40">
        <f t="shared" si="7"/>
        <v>0.006389890313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7">
        <v>43322.0</v>
      </c>
      <c r="B11" s="39">
        <v>23.5523</v>
      </c>
      <c r="C11" s="40">
        <f t="shared" si="3"/>
        <v>-0.00357914955</v>
      </c>
      <c r="D11" s="42">
        <v>11429.5</v>
      </c>
      <c r="E11" s="40">
        <f t="shared" si="4"/>
        <v>-0.003591759875</v>
      </c>
      <c r="F11" s="43">
        <v>7.754</v>
      </c>
      <c r="G11" s="49">
        <f t="shared" si="1"/>
        <v>0.07754</v>
      </c>
      <c r="H11" s="50">
        <f t="shared" si="2"/>
        <v>0.0002046254953</v>
      </c>
      <c r="I11" s="51">
        <f t="shared" si="5"/>
        <v>0.001119823322</v>
      </c>
      <c r="J11" s="52">
        <f t="shared" si="6"/>
        <v>-0.004698972872</v>
      </c>
      <c r="K11" s="40">
        <f t="shared" si="7"/>
        <v>-0.004711583198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7">
        <v>43325.0</v>
      </c>
      <c r="B12" s="39">
        <v>23.4047</v>
      </c>
      <c r="C12" s="40">
        <f t="shared" si="3"/>
        <v>-0.006266903869</v>
      </c>
      <c r="D12" s="42">
        <v>11355.75</v>
      </c>
      <c r="E12" s="40">
        <f t="shared" si="4"/>
        <v>-0.006452600726</v>
      </c>
      <c r="F12" s="43">
        <v>7.823</v>
      </c>
      <c r="G12" s="49">
        <f t="shared" si="1"/>
        <v>0.07823</v>
      </c>
      <c r="H12" s="50">
        <f t="shared" si="2"/>
        <v>0.0002063796709</v>
      </c>
      <c r="I12" s="51">
        <f t="shared" si="5"/>
        <v>0.008572614779</v>
      </c>
      <c r="J12" s="52">
        <f t="shared" si="6"/>
        <v>-0.01483951865</v>
      </c>
      <c r="K12" s="40">
        <f t="shared" si="7"/>
        <v>-0.0150252155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7">
        <v>43326.0</v>
      </c>
      <c r="B13" s="39">
        <v>23.5816</v>
      </c>
      <c r="C13" s="40">
        <f t="shared" si="3"/>
        <v>0.007558310938</v>
      </c>
      <c r="D13" s="42">
        <v>11435.1</v>
      </c>
      <c r="E13" s="40">
        <f t="shared" si="4"/>
        <v>0.006987649429</v>
      </c>
      <c r="F13" s="43">
        <v>7.818</v>
      </c>
      <c r="G13" s="49">
        <f t="shared" si="1"/>
        <v>0.07818</v>
      </c>
      <c r="H13" s="50">
        <f t="shared" si="2"/>
        <v>0.0002062525943</v>
      </c>
      <c r="I13" s="51">
        <f t="shared" si="5"/>
        <v>-0.0006157415713</v>
      </c>
      <c r="J13" s="52">
        <f t="shared" si="6"/>
        <v>0.008174052509</v>
      </c>
      <c r="K13" s="40">
        <f t="shared" si="7"/>
        <v>0.007603391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7">
        <v>43328.0</v>
      </c>
      <c r="B14" s="39">
        <v>23.4801</v>
      </c>
      <c r="C14" s="40">
        <f t="shared" si="3"/>
        <v>-0.004304203277</v>
      </c>
      <c r="D14" s="42">
        <v>11385.05</v>
      </c>
      <c r="E14" s="40">
        <f t="shared" si="4"/>
        <v>-0.00437687471</v>
      </c>
      <c r="F14" s="43">
        <v>7.861</v>
      </c>
      <c r="G14" s="49">
        <f t="shared" si="1"/>
        <v>0.07861</v>
      </c>
      <c r="H14" s="50">
        <f t="shared" si="2"/>
        <v>0.0002073452606</v>
      </c>
      <c r="I14" s="51">
        <f t="shared" si="5"/>
        <v>0.005297709177</v>
      </c>
      <c r="J14" s="52">
        <f t="shared" si="6"/>
        <v>-0.009601912454</v>
      </c>
      <c r="K14" s="40">
        <f t="shared" si="7"/>
        <v>-0.009674583888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7">
        <v>43329.0</v>
      </c>
      <c r="B15" s="39">
        <v>23.6534</v>
      </c>
      <c r="C15" s="40">
        <f t="shared" si="3"/>
        <v>0.00738071814</v>
      </c>
      <c r="D15" s="42">
        <v>11470.75</v>
      </c>
      <c r="E15" s="40">
        <f t="shared" si="4"/>
        <v>0.007527415339</v>
      </c>
      <c r="F15" s="43">
        <v>7.838</v>
      </c>
      <c r="G15" s="49">
        <f t="shared" si="1"/>
        <v>0.07838</v>
      </c>
      <c r="H15" s="50">
        <f t="shared" si="2"/>
        <v>0.0002067608653</v>
      </c>
      <c r="I15" s="51">
        <f t="shared" si="5"/>
        <v>-0.002818464941</v>
      </c>
      <c r="J15" s="52">
        <f t="shared" si="6"/>
        <v>0.01019918308</v>
      </c>
      <c r="K15" s="40">
        <f t="shared" si="7"/>
        <v>0.01034588028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7">
        <v>43332.0</v>
      </c>
      <c r="B16" s="39">
        <v>23.8201</v>
      </c>
      <c r="C16" s="40">
        <f t="shared" si="3"/>
        <v>0.007047612605</v>
      </c>
      <c r="D16" s="42">
        <v>11551.75</v>
      </c>
      <c r="E16" s="40">
        <f t="shared" si="4"/>
        <v>0.007061438877</v>
      </c>
      <c r="F16" s="43">
        <v>7.827</v>
      </c>
      <c r="G16" s="49">
        <f t="shared" si="1"/>
        <v>0.07827</v>
      </c>
      <c r="H16" s="50">
        <f t="shared" si="2"/>
        <v>0.0002064813279</v>
      </c>
      <c r="I16" s="51">
        <f t="shared" si="5"/>
        <v>-0.001351983936</v>
      </c>
      <c r="J16" s="52">
        <f t="shared" si="6"/>
        <v>0.008399596541</v>
      </c>
      <c r="K16" s="40">
        <f t="shared" si="7"/>
        <v>0.008413422813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7">
        <v>43333.0</v>
      </c>
      <c r="B17" s="39">
        <v>23.8587</v>
      </c>
      <c r="C17" s="40">
        <f t="shared" si="3"/>
        <v>0.001620480183</v>
      </c>
      <c r="D17" s="42">
        <v>11570.9</v>
      </c>
      <c r="E17" s="40">
        <f t="shared" si="4"/>
        <v>0.001657757483</v>
      </c>
      <c r="F17" s="43">
        <v>7.879</v>
      </c>
      <c r="G17" s="49">
        <f t="shared" si="1"/>
        <v>0.07879</v>
      </c>
      <c r="H17" s="50">
        <f t="shared" si="2"/>
        <v>0.0002078025268</v>
      </c>
      <c r="I17" s="51">
        <f t="shared" si="5"/>
        <v>0.006398636287</v>
      </c>
      <c r="J17" s="52">
        <f t="shared" si="6"/>
        <v>-0.004778156104</v>
      </c>
      <c r="K17" s="40">
        <f t="shared" si="7"/>
        <v>-0.004740878804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7">
        <v>43335.0</v>
      </c>
      <c r="B18" s="39">
        <v>23.8821</v>
      </c>
      <c r="C18" s="40">
        <f t="shared" si="3"/>
        <v>0.0009807743087</v>
      </c>
      <c r="D18" s="42">
        <v>11582.75</v>
      </c>
      <c r="E18" s="40">
        <f t="shared" si="4"/>
        <v>0.001024120855</v>
      </c>
      <c r="F18" s="43">
        <v>7.871</v>
      </c>
      <c r="G18" s="49">
        <f t="shared" si="1"/>
        <v>0.07871</v>
      </c>
      <c r="H18" s="50">
        <f t="shared" si="2"/>
        <v>0.0002075993068</v>
      </c>
      <c r="I18" s="51">
        <f t="shared" si="5"/>
        <v>-0.0009779478224</v>
      </c>
      <c r="J18" s="52">
        <f t="shared" si="6"/>
        <v>0.001958722131</v>
      </c>
      <c r="K18" s="40">
        <f t="shared" si="7"/>
        <v>0.002002068677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7">
        <v>43336.0</v>
      </c>
      <c r="B19" s="39">
        <v>23.835</v>
      </c>
      <c r="C19" s="40">
        <f t="shared" si="3"/>
        <v>-0.001972188375</v>
      </c>
      <c r="D19" s="42">
        <v>11557.1</v>
      </c>
      <c r="E19" s="40">
        <f t="shared" si="4"/>
        <v>-0.002214500011</v>
      </c>
      <c r="F19" s="43">
        <v>7.894</v>
      </c>
      <c r="G19" s="49">
        <f t="shared" si="1"/>
        <v>0.07894</v>
      </c>
      <c r="H19" s="50">
        <f t="shared" si="2"/>
        <v>0.0002081835239</v>
      </c>
      <c r="I19" s="51">
        <f t="shared" si="5"/>
        <v>0.00281415717</v>
      </c>
      <c r="J19" s="52">
        <f t="shared" si="6"/>
        <v>-0.004786345545</v>
      </c>
      <c r="K19" s="40">
        <f t="shared" si="7"/>
        <v>-0.005028657181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7">
        <v>43339.0</v>
      </c>
      <c r="B20" s="39">
        <v>24.1093</v>
      </c>
      <c r="C20" s="40">
        <f t="shared" si="3"/>
        <v>0.01150828613</v>
      </c>
      <c r="D20" s="42">
        <v>11691.95</v>
      </c>
      <c r="E20" s="40">
        <f t="shared" si="4"/>
        <v>0.01166815205</v>
      </c>
      <c r="F20" s="43">
        <v>7.895</v>
      </c>
      <c r="G20" s="49">
        <f t="shared" si="1"/>
        <v>0.07895</v>
      </c>
      <c r="H20" s="50">
        <f t="shared" si="2"/>
        <v>0.0002082089218</v>
      </c>
      <c r="I20" s="51">
        <f t="shared" si="5"/>
        <v>0.0001219977673</v>
      </c>
      <c r="J20" s="52">
        <f t="shared" si="6"/>
        <v>0.01138628837</v>
      </c>
      <c r="K20" s="40">
        <f t="shared" si="7"/>
        <v>0.01154615428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7">
        <v>43340.0</v>
      </c>
      <c r="B21" s="39">
        <v>24.2041</v>
      </c>
      <c r="C21" s="40">
        <f t="shared" si="3"/>
        <v>0.003932092595</v>
      </c>
      <c r="D21" s="42">
        <v>11738.5</v>
      </c>
      <c r="E21" s="40">
        <f t="shared" si="4"/>
        <v>0.003981371799</v>
      </c>
      <c r="F21" s="43">
        <v>7.918</v>
      </c>
      <c r="G21" s="49">
        <f t="shared" si="1"/>
        <v>0.07918</v>
      </c>
      <c r="H21" s="50">
        <f t="shared" si="2"/>
        <v>0.0002087930093</v>
      </c>
      <c r="I21" s="51">
        <f t="shared" si="5"/>
        <v>0.00280529523</v>
      </c>
      <c r="J21" s="52">
        <f t="shared" si="6"/>
        <v>0.001126797365</v>
      </c>
      <c r="K21" s="40">
        <f t="shared" si="7"/>
        <v>0.001176076569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7">
        <v>43341.0</v>
      </c>
      <c r="B22" s="39">
        <v>24.1072</v>
      </c>
      <c r="C22" s="40">
        <f t="shared" si="3"/>
        <v>-0.00400345396</v>
      </c>
      <c r="D22" s="42">
        <v>11691.9</v>
      </c>
      <c r="E22" s="40">
        <f t="shared" si="4"/>
        <v>-0.003969842825</v>
      </c>
      <c r="F22" s="43">
        <v>7.93</v>
      </c>
      <c r="G22" s="49">
        <f t="shared" si="1"/>
        <v>0.0793</v>
      </c>
      <c r="H22" s="50">
        <f t="shared" si="2"/>
        <v>0.0002090977013</v>
      </c>
      <c r="I22" s="51">
        <f t="shared" si="5"/>
        <v>0.001459301838</v>
      </c>
      <c r="J22" s="52">
        <f t="shared" si="6"/>
        <v>-0.005462755799</v>
      </c>
      <c r="K22" s="40">
        <f t="shared" si="7"/>
        <v>-0.005429144663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7">
        <v>43342.0</v>
      </c>
      <c r="B23" s="39">
        <v>24.0768</v>
      </c>
      <c r="C23" s="40">
        <f t="shared" si="3"/>
        <v>-0.001261034048</v>
      </c>
      <c r="D23" s="42">
        <v>11676.8</v>
      </c>
      <c r="E23" s="40">
        <f t="shared" si="4"/>
        <v>-0.001291492401</v>
      </c>
      <c r="F23" s="43">
        <v>7.951</v>
      </c>
      <c r="G23" s="49">
        <f t="shared" si="1"/>
        <v>0.07951</v>
      </c>
      <c r="H23" s="50">
        <f t="shared" si="2"/>
        <v>0.0002096308311</v>
      </c>
      <c r="I23" s="51">
        <f t="shared" si="5"/>
        <v>0.00254966818</v>
      </c>
      <c r="J23" s="52">
        <f t="shared" si="6"/>
        <v>-0.003810702228</v>
      </c>
      <c r="K23" s="40">
        <f t="shared" si="7"/>
        <v>-0.00384116058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7">
        <v>43343.0</v>
      </c>
      <c r="B24" s="39">
        <v>24.0885</v>
      </c>
      <c r="C24" s="40">
        <f t="shared" si="3"/>
        <v>0.0004859449761</v>
      </c>
      <c r="D24" s="42">
        <v>11680.5</v>
      </c>
      <c r="E24" s="40">
        <f t="shared" si="4"/>
        <v>0.000316867635</v>
      </c>
      <c r="F24" s="43">
        <v>7.999</v>
      </c>
      <c r="G24" s="49">
        <f t="shared" si="1"/>
        <v>0.07999</v>
      </c>
      <c r="H24" s="50">
        <f t="shared" si="2"/>
        <v>0.0002108490251</v>
      </c>
      <c r="I24" s="51">
        <f t="shared" si="5"/>
        <v>0.005811139589</v>
      </c>
      <c r="J24" s="52">
        <f t="shared" si="6"/>
        <v>-0.005325194613</v>
      </c>
      <c r="K24" s="40">
        <f t="shared" si="7"/>
        <v>-0.005494271954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7">
        <v>43346.0</v>
      </c>
      <c r="B25" s="39">
        <v>23.8856</v>
      </c>
      <c r="C25" s="40">
        <f t="shared" si="3"/>
        <v>-0.008423106462</v>
      </c>
      <c r="D25" s="42">
        <v>11582.35</v>
      </c>
      <c r="E25" s="40">
        <f t="shared" si="4"/>
        <v>-0.008402893712</v>
      </c>
      <c r="F25" s="43">
        <v>8.062</v>
      </c>
      <c r="G25" s="49">
        <f t="shared" si="1"/>
        <v>0.08062</v>
      </c>
      <c r="H25" s="50">
        <f t="shared" si="2"/>
        <v>0.0002124470856</v>
      </c>
      <c r="I25" s="51">
        <f t="shared" si="5"/>
        <v>0.007579169536</v>
      </c>
      <c r="J25" s="52">
        <f t="shared" si="6"/>
        <v>-0.016002276</v>
      </c>
      <c r="K25" s="40">
        <f t="shared" si="7"/>
        <v>-0.01598206325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7">
        <v>43347.0</v>
      </c>
      <c r="B26" s="39">
        <v>23.7574</v>
      </c>
      <c r="C26" s="40">
        <f t="shared" si="3"/>
        <v>-0.005367250561</v>
      </c>
      <c r="D26" s="42">
        <v>11520.3</v>
      </c>
      <c r="E26" s="40">
        <f t="shared" si="4"/>
        <v>-0.005357289324</v>
      </c>
      <c r="F26" s="43">
        <v>8.049</v>
      </c>
      <c r="G26" s="49">
        <f t="shared" si="1"/>
        <v>0.08049</v>
      </c>
      <c r="H26" s="50">
        <f t="shared" si="2"/>
        <v>0.0002121174032</v>
      </c>
      <c r="I26" s="51">
        <f t="shared" si="5"/>
        <v>-0.00155183312</v>
      </c>
      <c r="J26" s="52">
        <f t="shared" si="6"/>
        <v>-0.003815417441</v>
      </c>
      <c r="K26" s="40">
        <f t="shared" si="7"/>
        <v>-0.003805456204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7">
        <v>43348.0</v>
      </c>
      <c r="B27" s="39">
        <v>23.6677</v>
      </c>
      <c r="C27" s="40">
        <f t="shared" si="3"/>
        <v>-0.003775665687</v>
      </c>
      <c r="D27" s="42">
        <v>11476.95</v>
      </c>
      <c r="E27" s="40">
        <f t="shared" si="4"/>
        <v>-0.003762922841</v>
      </c>
      <c r="F27" s="43">
        <v>8.056</v>
      </c>
      <c r="G27" s="49">
        <f t="shared" si="1"/>
        <v>0.08056</v>
      </c>
      <c r="H27" s="50">
        <f t="shared" si="2"/>
        <v>0.0002122949294</v>
      </c>
      <c r="I27" s="51">
        <f t="shared" si="5"/>
        <v>0.0008369243519</v>
      </c>
      <c r="J27" s="52">
        <f t="shared" si="6"/>
        <v>-0.004612590039</v>
      </c>
      <c r="K27" s="40">
        <f t="shared" si="7"/>
        <v>-0.004599847192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7">
        <v>43349.0</v>
      </c>
      <c r="B28" s="39">
        <v>23.7945</v>
      </c>
      <c r="C28" s="40">
        <f t="shared" si="3"/>
        <v>0.005357512559</v>
      </c>
      <c r="D28" s="42">
        <v>11536.9</v>
      </c>
      <c r="E28" s="40">
        <f t="shared" si="4"/>
        <v>0.005223513216</v>
      </c>
      <c r="F28" s="43">
        <v>8.031</v>
      </c>
      <c r="G28" s="49">
        <f t="shared" si="1"/>
        <v>0.08031</v>
      </c>
      <c r="H28" s="50">
        <f t="shared" si="2"/>
        <v>0.0002116608545</v>
      </c>
      <c r="I28" s="51">
        <f t="shared" si="5"/>
        <v>-0.002986764162</v>
      </c>
      <c r="J28" s="52">
        <f t="shared" si="6"/>
        <v>0.008344276721</v>
      </c>
      <c r="K28" s="40">
        <f t="shared" si="7"/>
        <v>0.008210277377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7">
        <v>43350.0</v>
      </c>
      <c r="B29" s="39">
        <v>23.9021</v>
      </c>
      <c r="C29" s="40">
        <f t="shared" si="3"/>
        <v>0.004522053416</v>
      </c>
      <c r="D29" s="42">
        <v>11589.1</v>
      </c>
      <c r="E29" s="40">
        <f t="shared" si="4"/>
        <v>0.004524612331</v>
      </c>
      <c r="F29" s="43">
        <v>8.158</v>
      </c>
      <c r="G29" s="49">
        <f t="shared" si="1"/>
        <v>0.08158</v>
      </c>
      <c r="H29" s="50">
        <f t="shared" si="2"/>
        <v>0.0002148804397</v>
      </c>
      <c r="I29" s="51">
        <f t="shared" si="5"/>
        <v>0.01521105641</v>
      </c>
      <c r="J29" s="52">
        <f t="shared" si="6"/>
        <v>-0.01068900299</v>
      </c>
      <c r="K29" s="40">
        <f t="shared" si="7"/>
        <v>-0.01068644407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7">
        <v>43353.0</v>
      </c>
      <c r="B30" s="39">
        <v>23.5957</v>
      </c>
      <c r="C30" s="40">
        <f t="shared" si="3"/>
        <v>-0.01281895733</v>
      </c>
      <c r="D30" s="42">
        <v>11438.1</v>
      </c>
      <c r="E30" s="40">
        <f t="shared" si="4"/>
        <v>-0.0130294846</v>
      </c>
      <c r="F30" s="43">
        <v>8.182</v>
      </c>
      <c r="G30" s="49">
        <f t="shared" si="1"/>
        <v>0.08182</v>
      </c>
      <c r="H30" s="50">
        <f t="shared" si="2"/>
        <v>0.0002154884417</v>
      </c>
      <c r="I30" s="51">
        <f t="shared" si="5"/>
        <v>0.002829489644</v>
      </c>
      <c r="J30" s="52">
        <f t="shared" si="6"/>
        <v>-0.01564844697</v>
      </c>
      <c r="K30" s="40">
        <f t="shared" si="7"/>
        <v>-0.01585897425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7">
        <v>43354.0</v>
      </c>
      <c r="B31" s="39">
        <v>23.2876</v>
      </c>
      <c r="C31" s="40">
        <f t="shared" si="3"/>
        <v>-0.01305746386</v>
      </c>
      <c r="D31" s="42">
        <v>11287.5</v>
      </c>
      <c r="E31" s="40">
        <f t="shared" si="4"/>
        <v>-0.01316652241</v>
      </c>
      <c r="F31" s="43">
        <v>8.134</v>
      </c>
      <c r="G31" s="49">
        <f t="shared" si="1"/>
        <v>0.08134</v>
      </c>
      <c r="H31" s="50">
        <f t="shared" si="2"/>
        <v>0.0002142723032</v>
      </c>
      <c r="I31" s="51">
        <f t="shared" si="5"/>
        <v>-0.005643636882</v>
      </c>
      <c r="J31" s="52">
        <f t="shared" si="6"/>
        <v>-0.007413826978</v>
      </c>
      <c r="K31" s="40">
        <f t="shared" si="7"/>
        <v>-0.00752288553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7">
        <v>43355.0</v>
      </c>
      <c r="B32" s="39">
        <v>23.4561</v>
      </c>
      <c r="C32" s="40">
        <f t="shared" si="3"/>
        <v>0.007235610368</v>
      </c>
      <c r="D32" s="42">
        <v>11369.9</v>
      </c>
      <c r="E32" s="40">
        <f t="shared" si="4"/>
        <v>0.007300110742</v>
      </c>
      <c r="F32" s="43">
        <v>8.127</v>
      </c>
      <c r="G32" s="49">
        <f t="shared" si="1"/>
        <v>0.08127</v>
      </c>
      <c r="H32" s="50">
        <f t="shared" si="2"/>
        <v>0.0002140949046</v>
      </c>
      <c r="I32" s="51">
        <f t="shared" si="5"/>
        <v>-0.0008279115393</v>
      </c>
      <c r="J32" s="52">
        <f t="shared" si="6"/>
        <v>0.008063521907</v>
      </c>
      <c r="K32" s="40">
        <f t="shared" si="7"/>
        <v>0.008128022281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7">
        <v>43357.0</v>
      </c>
      <c r="B33" s="39">
        <v>23.7512</v>
      </c>
      <c r="C33" s="40">
        <f t="shared" si="3"/>
        <v>0.01258094909</v>
      </c>
      <c r="D33" s="42">
        <v>11515.2</v>
      </c>
      <c r="E33" s="40">
        <f t="shared" si="4"/>
        <v>0.01277935602</v>
      </c>
      <c r="F33" s="43">
        <v>8.124</v>
      </c>
      <c r="G33" s="49">
        <f t="shared" si="1"/>
        <v>0.08124</v>
      </c>
      <c r="H33" s="50">
        <f t="shared" si="2"/>
        <v>0.0002140188732</v>
      </c>
      <c r="I33" s="51">
        <f t="shared" si="5"/>
        <v>-0.0003551296092</v>
      </c>
      <c r="J33" s="52">
        <f t="shared" si="6"/>
        <v>0.0129360787</v>
      </c>
      <c r="K33" s="40">
        <f t="shared" si="7"/>
        <v>0.01313448563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7">
        <v>43360.0</v>
      </c>
      <c r="B34" s="39">
        <v>23.4729</v>
      </c>
      <c r="C34" s="40">
        <f t="shared" si="3"/>
        <v>-0.0117173027</v>
      </c>
      <c r="D34" s="42">
        <v>11377.75</v>
      </c>
      <c r="E34" s="40">
        <f t="shared" si="4"/>
        <v>-0.01193639711</v>
      </c>
      <c r="F34" s="43">
        <v>8.098</v>
      </c>
      <c r="G34" s="49">
        <f t="shared" si="1"/>
        <v>0.08098</v>
      </c>
      <c r="H34" s="50">
        <f t="shared" si="2"/>
        <v>0.0002133598459</v>
      </c>
      <c r="I34" s="51">
        <f t="shared" si="5"/>
        <v>-0.003079295179</v>
      </c>
      <c r="J34" s="52">
        <f t="shared" si="6"/>
        <v>-0.008638007525</v>
      </c>
      <c r="K34" s="40">
        <f t="shared" si="7"/>
        <v>-0.008857101931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7">
        <v>43361.0</v>
      </c>
      <c r="B35" s="39">
        <v>23.2705</v>
      </c>
      <c r="C35" s="40">
        <f t="shared" si="3"/>
        <v>-0.008622709593</v>
      </c>
      <c r="D35" s="42">
        <v>11278.9</v>
      </c>
      <c r="E35" s="40">
        <f t="shared" si="4"/>
        <v>-0.008688009492</v>
      </c>
      <c r="F35" s="43">
        <v>8.14</v>
      </c>
      <c r="G35" s="49">
        <f t="shared" si="1"/>
        <v>0.0814</v>
      </c>
      <c r="H35" s="50">
        <f t="shared" si="2"/>
        <v>0.0002144243499</v>
      </c>
      <c r="I35" s="51">
        <f t="shared" si="5"/>
        <v>0.004989242399</v>
      </c>
      <c r="J35" s="52">
        <f t="shared" si="6"/>
        <v>-0.01361195199</v>
      </c>
      <c r="K35" s="40">
        <f t="shared" si="7"/>
        <v>-0.01367725189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7">
        <v>43362.0</v>
      </c>
      <c r="B36" s="39">
        <v>23.1816</v>
      </c>
      <c r="C36" s="40">
        <f t="shared" si="3"/>
        <v>-0.003820287488</v>
      </c>
      <c r="D36" s="42">
        <v>11234.35</v>
      </c>
      <c r="E36" s="40">
        <f t="shared" si="4"/>
        <v>-0.003949853266</v>
      </c>
      <c r="F36" s="43">
        <v>8.074</v>
      </c>
      <c r="G36" s="49">
        <f t="shared" si="1"/>
        <v>0.08074</v>
      </c>
      <c r="H36" s="50">
        <f t="shared" si="2"/>
        <v>0.0002127513727</v>
      </c>
      <c r="I36" s="51">
        <f t="shared" si="5"/>
        <v>-0.007802179127</v>
      </c>
      <c r="J36" s="52">
        <f t="shared" si="6"/>
        <v>0.003981891639</v>
      </c>
      <c r="K36" s="40">
        <f t="shared" si="7"/>
        <v>0.003852325862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7">
        <v>43364.0</v>
      </c>
      <c r="B37" s="39">
        <v>22.9952</v>
      </c>
      <c r="C37" s="40">
        <f t="shared" si="3"/>
        <v>-0.008040859992</v>
      </c>
      <c r="D37" s="42">
        <v>11143.1</v>
      </c>
      <c r="E37" s="40">
        <f t="shared" si="4"/>
        <v>-0.008122410286</v>
      </c>
      <c r="F37" s="43">
        <v>8.076</v>
      </c>
      <c r="G37" s="49">
        <f t="shared" si="1"/>
        <v>0.08076</v>
      </c>
      <c r="H37" s="50">
        <f t="shared" si="2"/>
        <v>0.000212802084</v>
      </c>
      <c r="I37" s="51">
        <f t="shared" si="5"/>
        <v>0.0002383591968</v>
      </c>
      <c r="J37" s="52">
        <f t="shared" si="6"/>
        <v>-0.008279219189</v>
      </c>
      <c r="K37" s="40">
        <f t="shared" si="7"/>
        <v>-0.008360769483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7">
        <v>43367.0</v>
      </c>
      <c r="B38" s="39">
        <v>22.6399</v>
      </c>
      <c r="C38" s="40">
        <f t="shared" si="3"/>
        <v>-0.01545105065</v>
      </c>
      <c r="D38" s="42">
        <v>10967.4</v>
      </c>
      <c r="E38" s="40">
        <f t="shared" si="4"/>
        <v>-0.01576760507</v>
      </c>
      <c r="F38" s="43">
        <v>8.122</v>
      </c>
      <c r="G38" s="49">
        <f t="shared" si="1"/>
        <v>0.08122</v>
      </c>
      <c r="H38" s="50">
        <f t="shared" si="2"/>
        <v>0.0002139681844</v>
      </c>
      <c r="I38" s="51">
        <f t="shared" si="5"/>
        <v>0.00547974164</v>
      </c>
      <c r="J38" s="52">
        <f t="shared" si="6"/>
        <v>-0.02093079229</v>
      </c>
      <c r="K38" s="40">
        <f t="shared" si="7"/>
        <v>-0.02124734671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7">
        <v>43368.0</v>
      </c>
      <c r="B39" s="39">
        <v>22.8388</v>
      </c>
      <c r="C39" s="40">
        <f t="shared" si="3"/>
        <v>0.008785374494</v>
      </c>
      <c r="D39" s="42">
        <v>11067.45</v>
      </c>
      <c r="E39" s="40">
        <f t="shared" si="4"/>
        <v>0.009122490289</v>
      </c>
      <c r="F39" s="43">
        <v>8.125</v>
      </c>
      <c r="G39" s="49">
        <f t="shared" si="1"/>
        <v>0.08125</v>
      </c>
      <c r="H39" s="50">
        <f t="shared" si="2"/>
        <v>0.0002140442172</v>
      </c>
      <c r="I39" s="51">
        <f t="shared" si="5"/>
        <v>0.0003553464861</v>
      </c>
      <c r="J39" s="52">
        <f t="shared" si="6"/>
        <v>0.008430028008</v>
      </c>
      <c r="K39" s="40">
        <f t="shared" si="7"/>
        <v>0.008767143803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7">
        <v>43369.0</v>
      </c>
      <c r="B40" s="39">
        <v>22.8105</v>
      </c>
      <c r="C40" s="40">
        <f t="shared" si="3"/>
        <v>-0.001239119393</v>
      </c>
      <c r="D40" s="42">
        <v>11053.8</v>
      </c>
      <c r="E40" s="40">
        <f t="shared" si="4"/>
        <v>-0.001233346435</v>
      </c>
      <c r="F40" s="43">
        <v>8.072</v>
      </c>
      <c r="G40" s="49">
        <f t="shared" si="1"/>
        <v>0.08072</v>
      </c>
      <c r="H40" s="50">
        <f t="shared" si="2"/>
        <v>0.0002127006605</v>
      </c>
      <c r="I40" s="51">
        <f t="shared" si="5"/>
        <v>-0.00627700542</v>
      </c>
      <c r="J40" s="52">
        <f t="shared" si="6"/>
        <v>0.005037886027</v>
      </c>
      <c r="K40" s="40">
        <f t="shared" si="7"/>
        <v>0.005043658986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7">
        <v>43370.0</v>
      </c>
      <c r="B41" s="39">
        <v>22.6591</v>
      </c>
      <c r="C41" s="40">
        <f t="shared" si="3"/>
        <v>-0.006637294229</v>
      </c>
      <c r="D41" s="42">
        <v>10977.55</v>
      </c>
      <c r="E41" s="40">
        <f t="shared" si="4"/>
        <v>-0.006898080298</v>
      </c>
      <c r="F41" s="43">
        <v>8.027</v>
      </c>
      <c r="G41" s="49">
        <f t="shared" si="1"/>
        <v>0.08027</v>
      </c>
      <c r="H41" s="50">
        <f t="shared" si="2"/>
        <v>0.0002115593889</v>
      </c>
      <c r="I41" s="51">
        <f t="shared" si="5"/>
        <v>-0.005365623218</v>
      </c>
      <c r="J41" s="52">
        <f t="shared" si="6"/>
        <v>-0.001271671011</v>
      </c>
      <c r="K41" s="40">
        <f t="shared" si="7"/>
        <v>-0.001532457081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7">
        <v>43371.0</v>
      </c>
      <c r="B42" s="39">
        <v>22.5719</v>
      </c>
      <c r="C42" s="40">
        <f t="shared" si="3"/>
        <v>-0.003848343491</v>
      </c>
      <c r="D42" s="42">
        <v>10930.45</v>
      </c>
      <c r="E42" s="40">
        <f t="shared" si="4"/>
        <v>-0.004290574855</v>
      </c>
      <c r="F42" s="43">
        <v>8.024</v>
      </c>
      <c r="G42" s="49">
        <f t="shared" si="1"/>
        <v>0.08024</v>
      </c>
      <c r="H42" s="50">
        <f t="shared" si="2"/>
        <v>0.0002114832873</v>
      </c>
      <c r="I42" s="51">
        <f t="shared" si="5"/>
        <v>-0.0003597175728</v>
      </c>
      <c r="J42" s="52">
        <f t="shared" si="6"/>
        <v>-0.003488625918</v>
      </c>
      <c r="K42" s="40">
        <f t="shared" si="7"/>
        <v>-0.003930857282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7">
        <v>43374.0</v>
      </c>
      <c r="B43" s="39">
        <v>22.7307</v>
      </c>
      <c r="C43" s="40">
        <f t="shared" si="3"/>
        <v>0.007035296098</v>
      </c>
      <c r="D43" s="42">
        <v>11008.3</v>
      </c>
      <c r="E43" s="40">
        <f t="shared" si="4"/>
        <v>0.00712230512</v>
      </c>
      <c r="F43" s="43">
        <v>7.988</v>
      </c>
      <c r="G43" s="49">
        <f t="shared" si="1"/>
        <v>0.07988</v>
      </c>
      <c r="H43" s="50">
        <f t="shared" si="2"/>
        <v>0.0002105699033</v>
      </c>
      <c r="I43" s="51">
        <f t="shared" si="5"/>
        <v>-0.004318941719</v>
      </c>
      <c r="J43" s="52">
        <f t="shared" si="6"/>
        <v>0.01135423782</v>
      </c>
      <c r="K43" s="40">
        <f t="shared" si="7"/>
        <v>0.01144124684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7">
        <v>43376.0</v>
      </c>
      <c r="B44" s="39">
        <v>22.4267</v>
      </c>
      <c r="C44" s="40">
        <f t="shared" si="3"/>
        <v>-0.0133739832</v>
      </c>
      <c r="D44" s="42">
        <v>10858.25</v>
      </c>
      <c r="E44" s="40">
        <f t="shared" si="4"/>
        <v>-0.01363062417</v>
      </c>
      <c r="F44" s="43">
        <v>8.112</v>
      </c>
      <c r="G44" s="49">
        <f t="shared" si="1"/>
        <v>0.08112</v>
      </c>
      <c r="H44" s="50">
        <f t="shared" si="2"/>
        <v>0.0002137147264</v>
      </c>
      <c r="I44" s="51">
        <f t="shared" si="5"/>
        <v>0.01493481757</v>
      </c>
      <c r="J44" s="52">
        <f t="shared" si="6"/>
        <v>-0.02830880077</v>
      </c>
      <c r="K44" s="40">
        <f t="shared" si="7"/>
        <v>-0.02856544173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7">
        <v>43377.0</v>
      </c>
      <c r="B45" s="39">
        <v>21.903</v>
      </c>
      <c r="C45" s="40">
        <f t="shared" si="3"/>
        <v>-0.02335162998</v>
      </c>
      <c r="D45" s="42">
        <v>10599.25</v>
      </c>
      <c r="E45" s="40">
        <f t="shared" si="4"/>
        <v>-0.0238528308</v>
      </c>
      <c r="F45" s="43">
        <v>8.158</v>
      </c>
      <c r="G45" s="49">
        <f t="shared" si="1"/>
        <v>0.08158</v>
      </c>
      <c r="H45" s="50">
        <f t="shared" si="2"/>
        <v>0.0002148804397</v>
      </c>
      <c r="I45" s="51">
        <f t="shared" si="5"/>
        <v>0.005454529544</v>
      </c>
      <c r="J45" s="52">
        <f t="shared" si="6"/>
        <v>-0.02880615952</v>
      </c>
      <c r="K45" s="40">
        <f t="shared" si="7"/>
        <v>-0.02930736034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7">
        <v>43378.0</v>
      </c>
      <c r="B46" s="39">
        <v>21.3331</v>
      </c>
      <c r="C46" s="40">
        <f t="shared" si="3"/>
        <v>-0.02601926677</v>
      </c>
      <c r="D46" s="42">
        <v>10316.45</v>
      </c>
      <c r="E46" s="40">
        <f t="shared" si="4"/>
        <v>-0.0266811331</v>
      </c>
      <c r="F46" s="43">
        <v>8.024</v>
      </c>
      <c r="G46" s="49">
        <f t="shared" si="1"/>
        <v>0.08024</v>
      </c>
      <c r="H46" s="50">
        <f t="shared" si="2"/>
        <v>0.0002114832873</v>
      </c>
      <c r="I46" s="51">
        <f t="shared" si="5"/>
        <v>-0.01580950036</v>
      </c>
      <c r="J46" s="52">
        <f t="shared" si="6"/>
        <v>-0.01020976641</v>
      </c>
      <c r="K46" s="40">
        <f t="shared" si="7"/>
        <v>-0.01087163274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7">
        <v>43381.0</v>
      </c>
      <c r="B47" s="39">
        <v>21.3963</v>
      </c>
      <c r="C47" s="40">
        <f t="shared" si="3"/>
        <v>0.002962532403</v>
      </c>
      <c r="D47" s="42">
        <v>10348.05</v>
      </c>
      <c r="E47" s="40">
        <f t="shared" si="4"/>
        <v>0.003063069176</v>
      </c>
      <c r="F47" s="43">
        <v>7.974</v>
      </c>
      <c r="G47" s="49">
        <f t="shared" si="1"/>
        <v>0.07974</v>
      </c>
      <c r="H47" s="50">
        <f t="shared" si="2"/>
        <v>0.0002102146164</v>
      </c>
      <c r="I47" s="51">
        <f t="shared" si="5"/>
        <v>-0.005998917948</v>
      </c>
      <c r="J47" s="52">
        <f t="shared" si="6"/>
        <v>0.008961450351</v>
      </c>
      <c r="K47" s="40">
        <f t="shared" si="7"/>
        <v>0.009061987124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7">
        <v>43382.0</v>
      </c>
      <c r="B48" s="39">
        <v>21.3027</v>
      </c>
      <c r="C48" s="40">
        <f t="shared" si="3"/>
        <v>-0.00437458813</v>
      </c>
      <c r="D48" s="42">
        <v>10301.05</v>
      </c>
      <c r="E48" s="40">
        <f t="shared" si="4"/>
        <v>-0.004541918526</v>
      </c>
      <c r="F48" s="43">
        <v>8.076</v>
      </c>
      <c r="G48" s="49">
        <f t="shared" si="1"/>
        <v>0.08076</v>
      </c>
      <c r="H48" s="50">
        <f t="shared" si="2"/>
        <v>0.000212802084</v>
      </c>
      <c r="I48" s="51">
        <f t="shared" si="5"/>
        <v>0.01230869477</v>
      </c>
      <c r="J48" s="52">
        <f t="shared" si="6"/>
        <v>-0.0166832829</v>
      </c>
      <c r="K48" s="40">
        <f t="shared" si="7"/>
        <v>-0.01685061329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7">
        <v>43383.0</v>
      </c>
      <c r="B49" s="39">
        <v>21.6176</v>
      </c>
      <c r="C49" s="40">
        <f t="shared" si="3"/>
        <v>0.01478216376</v>
      </c>
      <c r="D49" s="42">
        <v>10460.1</v>
      </c>
      <c r="E49" s="40">
        <f t="shared" si="4"/>
        <v>0.01544017357</v>
      </c>
      <c r="F49" s="43">
        <v>8.031</v>
      </c>
      <c r="G49" s="49">
        <f t="shared" si="1"/>
        <v>0.08031</v>
      </c>
      <c r="H49" s="50">
        <f t="shared" si="2"/>
        <v>0.0002116608545</v>
      </c>
      <c r="I49" s="51">
        <f t="shared" si="5"/>
        <v>-0.005362867923</v>
      </c>
      <c r="J49" s="52">
        <f t="shared" si="6"/>
        <v>0.02014503169</v>
      </c>
      <c r="K49" s="40">
        <f t="shared" si="7"/>
        <v>0.0208030415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7">
        <v>43384.0</v>
      </c>
      <c r="B50" s="39">
        <v>21.1724</v>
      </c>
      <c r="C50" s="40">
        <f t="shared" si="3"/>
        <v>-0.02059433055</v>
      </c>
      <c r="D50" s="42">
        <v>10234.65</v>
      </c>
      <c r="E50" s="40">
        <f t="shared" si="4"/>
        <v>-0.02155333123</v>
      </c>
      <c r="F50" s="43">
        <v>7.986</v>
      </c>
      <c r="G50" s="49">
        <f t="shared" si="1"/>
        <v>0.07986</v>
      </c>
      <c r="H50" s="50">
        <f t="shared" si="2"/>
        <v>0.0002105191509</v>
      </c>
      <c r="I50" s="51">
        <f t="shared" si="5"/>
        <v>-0.005394023588</v>
      </c>
      <c r="J50" s="52">
        <f t="shared" si="6"/>
        <v>-0.01520030696</v>
      </c>
      <c r="K50" s="40">
        <f t="shared" si="7"/>
        <v>-0.01615930764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7">
        <v>43385.0</v>
      </c>
      <c r="B51" s="39">
        <v>21.6359</v>
      </c>
      <c r="C51" s="40">
        <f t="shared" si="3"/>
        <v>0.02189170807</v>
      </c>
      <c r="D51" s="42">
        <v>10472.5</v>
      </c>
      <c r="E51" s="40">
        <f t="shared" si="4"/>
        <v>0.02323968089</v>
      </c>
      <c r="F51" s="43">
        <v>7.984</v>
      </c>
      <c r="G51" s="49">
        <f t="shared" si="1"/>
        <v>0.07984</v>
      </c>
      <c r="H51" s="50">
        <f t="shared" si="2"/>
        <v>0.0002104683975</v>
      </c>
      <c r="I51" s="51">
        <f t="shared" si="5"/>
        <v>-0.0002410868357</v>
      </c>
      <c r="J51" s="52">
        <f t="shared" si="6"/>
        <v>0.02213279491</v>
      </c>
      <c r="K51" s="40">
        <f t="shared" si="7"/>
        <v>0.02348076772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7">
        <v>43388.0</v>
      </c>
      <c r="B52" s="39">
        <v>21.714</v>
      </c>
      <c r="C52" s="40">
        <f t="shared" si="3"/>
        <v>0.003609741217</v>
      </c>
      <c r="D52" s="42">
        <v>10512.5</v>
      </c>
      <c r="E52" s="40">
        <f t="shared" si="4"/>
        <v>0.003819527333</v>
      </c>
      <c r="F52" s="43">
        <v>7.921</v>
      </c>
      <c r="G52" s="49">
        <f t="shared" si="1"/>
        <v>0.07921</v>
      </c>
      <c r="H52" s="50">
        <f t="shared" si="2"/>
        <v>0.0002088691855</v>
      </c>
      <c r="I52" s="51">
        <f t="shared" si="5"/>
        <v>-0.007598347423</v>
      </c>
      <c r="J52" s="52">
        <f t="shared" si="6"/>
        <v>0.01120808864</v>
      </c>
      <c r="K52" s="40">
        <f t="shared" si="7"/>
        <v>0.01141787476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7">
        <v>43389.0</v>
      </c>
      <c r="B53" s="39">
        <v>21.8521</v>
      </c>
      <c r="C53" s="40">
        <f t="shared" si="3"/>
        <v>0.006359952105</v>
      </c>
      <c r="D53" s="42">
        <v>10584.75</v>
      </c>
      <c r="E53" s="40">
        <f t="shared" si="4"/>
        <v>0.006872770511</v>
      </c>
      <c r="F53" s="43">
        <v>7.872</v>
      </c>
      <c r="G53" s="49">
        <f t="shared" si="1"/>
        <v>0.07872</v>
      </c>
      <c r="H53" s="50">
        <f t="shared" si="2"/>
        <v>0.0002076247101</v>
      </c>
      <c r="I53" s="51">
        <f t="shared" si="5"/>
        <v>-0.005958156741</v>
      </c>
      <c r="J53" s="52">
        <f t="shared" si="6"/>
        <v>0.01231810885</v>
      </c>
      <c r="K53" s="40">
        <f t="shared" si="7"/>
        <v>0.01283092725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7">
        <v>43390.0</v>
      </c>
      <c r="B54" s="39">
        <v>21.5892</v>
      </c>
      <c r="C54" s="40">
        <f t="shared" si="3"/>
        <v>-0.01203088033</v>
      </c>
      <c r="D54" s="42">
        <v>10453.05</v>
      </c>
      <c r="E54" s="40">
        <f t="shared" si="4"/>
        <v>-0.01244242897</v>
      </c>
      <c r="F54" s="43">
        <v>7.909</v>
      </c>
      <c r="G54" s="49">
        <f t="shared" si="1"/>
        <v>0.07909</v>
      </c>
      <c r="H54" s="50">
        <f t="shared" si="2"/>
        <v>0.0002085644681</v>
      </c>
      <c r="I54" s="51">
        <f t="shared" si="5"/>
        <v>0.004526233805</v>
      </c>
      <c r="J54" s="52">
        <f t="shared" si="6"/>
        <v>-0.01655711413</v>
      </c>
      <c r="K54" s="40">
        <f t="shared" si="7"/>
        <v>-0.01696866277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7">
        <v>43392.0</v>
      </c>
      <c r="B55" s="39">
        <v>21.294</v>
      </c>
      <c r="C55" s="40">
        <f t="shared" si="3"/>
        <v>-0.01367350342</v>
      </c>
      <c r="D55" s="42">
        <v>10303.55</v>
      </c>
      <c r="E55" s="40">
        <f t="shared" si="4"/>
        <v>-0.01430204581</v>
      </c>
      <c r="F55" s="43">
        <v>7.921</v>
      </c>
      <c r="G55" s="49">
        <f t="shared" si="1"/>
        <v>0.07921</v>
      </c>
      <c r="H55" s="50">
        <f t="shared" si="2"/>
        <v>0.0002088691855</v>
      </c>
      <c r="I55" s="51">
        <f t="shared" si="5"/>
        <v>0.001461022418</v>
      </c>
      <c r="J55" s="52">
        <f t="shared" si="6"/>
        <v>-0.01513452584</v>
      </c>
      <c r="K55" s="40">
        <f t="shared" si="7"/>
        <v>-0.01576306823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7">
        <v>43395.0</v>
      </c>
      <c r="B56" s="39">
        <v>21.179</v>
      </c>
      <c r="C56" s="40">
        <f t="shared" si="3"/>
        <v>-0.005400582324</v>
      </c>
      <c r="D56" s="42">
        <v>10245.25</v>
      </c>
      <c r="E56" s="40">
        <f t="shared" si="4"/>
        <v>-0.005658244003</v>
      </c>
      <c r="F56" s="43">
        <v>7.93</v>
      </c>
      <c r="G56" s="49">
        <f t="shared" si="1"/>
        <v>0.0793</v>
      </c>
      <c r="H56" s="50">
        <f t="shared" si="2"/>
        <v>0.0002090977013</v>
      </c>
      <c r="I56" s="51">
        <f t="shared" si="5"/>
        <v>0.00109406205</v>
      </c>
      <c r="J56" s="52">
        <f t="shared" si="6"/>
        <v>-0.006494644373</v>
      </c>
      <c r="K56" s="40">
        <f t="shared" si="7"/>
        <v>-0.006752306053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7">
        <v>43396.0</v>
      </c>
      <c r="B57" s="39">
        <v>20.9877</v>
      </c>
      <c r="C57" s="40">
        <f t="shared" si="3"/>
        <v>-0.009032532225</v>
      </c>
      <c r="D57" s="42">
        <v>10146.8</v>
      </c>
      <c r="E57" s="40">
        <f t="shared" si="4"/>
        <v>-0.009609331153</v>
      </c>
      <c r="F57" s="43">
        <v>7.894</v>
      </c>
      <c r="G57" s="49">
        <f t="shared" si="1"/>
        <v>0.07894</v>
      </c>
      <c r="H57" s="50">
        <f t="shared" si="2"/>
        <v>0.0002081835239</v>
      </c>
      <c r="I57" s="51">
        <f t="shared" si="5"/>
        <v>-0.004372010963</v>
      </c>
      <c r="J57" s="52">
        <f t="shared" si="6"/>
        <v>-0.004660521262</v>
      </c>
      <c r="K57" s="40">
        <f t="shared" si="7"/>
        <v>-0.005237320191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7">
        <v>43397.0</v>
      </c>
      <c r="B58" s="39">
        <v>21.1428</v>
      </c>
      <c r="C58" s="40">
        <f t="shared" si="3"/>
        <v>0.007390042739</v>
      </c>
      <c r="D58" s="42">
        <v>10224.75</v>
      </c>
      <c r="E58" s="40">
        <f t="shared" si="4"/>
        <v>0.007682224938</v>
      </c>
      <c r="F58" s="43">
        <v>7.872</v>
      </c>
      <c r="G58" s="49">
        <f t="shared" si="1"/>
        <v>0.07872</v>
      </c>
      <c r="H58" s="50">
        <f t="shared" si="2"/>
        <v>0.0002076247101</v>
      </c>
      <c r="I58" s="51">
        <f t="shared" si="5"/>
        <v>-0.002684236205</v>
      </c>
      <c r="J58" s="52">
        <f t="shared" si="6"/>
        <v>0.01007427894</v>
      </c>
      <c r="K58" s="40">
        <f t="shared" si="7"/>
        <v>0.01036646114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7">
        <v>43398.0</v>
      </c>
      <c r="B59" s="39">
        <v>20.9573</v>
      </c>
      <c r="C59" s="40">
        <f t="shared" si="3"/>
        <v>-0.008773672361</v>
      </c>
      <c r="D59" s="42">
        <v>10124.9</v>
      </c>
      <c r="E59" s="40">
        <f t="shared" si="4"/>
        <v>-0.009765519939</v>
      </c>
      <c r="F59" s="43">
        <v>7.867</v>
      </c>
      <c r="G59" s="49">
        <f t="shared" si="1"/>
        <v>0.07867</v>
      </c>
      <c r="H59" s="50">
        <f t="shared" si="2"/>
        <v>0.0002074976911</v>
      </c>
      <c r="I59" s="51">
        <f t="shared" si="5"/>
        <v>-0.0006117719618</v>
      </c>
      <c r="J59" s="52">
        <f t="shared" si="6"/>
        <v>-0.008161900399</v>
      </c>
      <c r="K59" s="40">
        <f t="shared" si="7"/>
        <v>-0.009153747978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7">
        <v>43399.0</v>
      </c>
      <c r="B60" s="39">
        <v>20.7633</v>
      </c>
      <c r="C60" s="40">
        <f t="shared" si="3"/>
        <v>-0.009256917637</v>
      </c>
      <c r="D60" s="42">
        <v>10030.0</v>
      </c>
      <c r="E60" s="40">
        <f t="shared" si="4"/>
        <v>-0.009372932078</v>
      </c>
      <c r="F60" s="43">
        <v>7.877</v>
      </c>
      <c r="G60" s="49">
        <f t="shared" si="1"/>
        <v>0.07877</v>
      </c>
      <c r="H60" s="50">
        <f t="shared" si="2"/>
        <v>0.0002077517232</v>
      </c>
      <c r="I60" s="51">
        <f t="shared" si="5"/>
        <v>0.001224264615</v>
      </c>
      <c r="J60" s="52">
        <f t="shared" si="6"/>
        <v>-0.01048118225</v>
      </c>
      <c r="K60" s="40">
        <f t="shared" si="7"/>
        <v>-0.01059719669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7">
        <v>43402.0</v>
      </c>
      <c r="B61" s="39">
        <v>21.2138</v>
      </c>
      <c r="C61" s="40">
        <f t="shared" si="3"/>
        <v>0.02169693642</v>
      </c>
      <c r="D61" s="42">
        <v>10250.85</v>
      </c>
      <c r="E61" s="40">
        <f t="shared" si="4"/>
        <v>0.02201894317</v>
      </c>
      <c r="F61" s="43">
        <v>7.81</v>
      </c>
      <c r="G61" s="49">
        <f t="shared" si="1"/>
        <v>0.0781</v>
      </c>
      <c r="H61" s="50">
        <f t="shared" si="2"/>
        <v>0.0002060492597</v>
      </c>
      <c r="I61" s="51">
        <f t="shared" si="5"/>
        <v>-0.008194702464</v>
      </c>
      <c r="J61" s="52">
        <f t="shared" si="6"/>
        <v>0.02989163889</v>
      </c>
      <c r="K61" s="40">
        <f t="shared" si="7"/>
        <v>0.03021364563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7">
        <v>43403.0</v>
      </c>
      <c r="B62" s="39">
        <v>21.1076</v>
      </c>
      <c r="C62" s="40">
        <f t="shared" si="3"/>
        <v>-0.005006175226</v>
      </c>
      <c r="D62" s="42">
        <v>10198.4</v>
      </c>
      <c r="E62" s="40">
        <f t="shared" si="4"/>
        <v>-0.005116648863</v>
      </c>
      <c r="F62" s="43">
        <v>7.834</v>
      </c>
      <c r="G62" s="49">
        <f t="shared" si="1"/>
        <v>0.07834</v>
      </c>
      <c r="H62" s="50">
        <f t="shared" si="2"/>
        <v>0.0002066592186</v>
      </c>
      <c r="I62" s="51">
        <f t="shared" si="5"/>
        <v>0.002960257885</v>
      </c>
      <c r="J62" s="52">
        <f t="shared" si="6"/>
        <v>-0.007966433111</v>
      </c>
      <c r="K62" s="40">
        <f t="shared" si="7"/>
        <v>-0.008076906748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7">
        <v>43404.0</v>
      </c>
      <c r="B63" s="39">
        <v>21.4933</v>
      </c>
      <c r="C63" s="40">
        <f t="shared" si="3"/>
        <v>0.01827303909</v>
      </c>
      <c r="D63" s="42">
        <v>10386.6</v>
      </c>
      <c r="E63" s="40">
        <f t="shared" si="4"/>
        <v>0.01845387512</v>
      </c>
      <c r="F63" s="43">
        <v>7.853</v>
      </c>
      <c r="G63" s="49">
        <f t="shared" si="1"/>
        <v>0.07853</v>
      </c>
      <c r="H63" s="50">
        <f t="shared" si="2"/>
        <v>0.0002071420068</v>
      </c>
      <c r="I63" s="51">
        <f t="shared" si="5"/>
        <v>0.00233615593</v>
      </c>
      <c r="J63" s="52">
        <f t="shared" si="6"/>
        <v>0.01593688316</v>
      </c>
      <c r="K63" s="40">
        <f t="shared" si="7"/>
        <v>0.01611771919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7">
        <v>43405.0</v>
      </c>
      <c r="B64" s="39">
        <v>21.4844</v>
      </c>
      <c r="C64" s="40">
        <f t="shared" si="3"/>
        <v>-0.000414082528</v>
      </c>
      <c r="D64" s="42">
        <v>10380.45</v>
      </c>
      <c r="E64" s="40">
        <f t="shared" si="4"/>
        <v>-0.0005921090636</v>
      </c>
      <c r="F64" s="43">
        <v>7.823</v>
      </c>
      <c r="G64" s="49">
        <f t="shared" si="1"/>
        <v>0.07823</v>
      </c>
      <c r="H64" s="50">
        <f t="shared" si="2"/>
        <v>0.0002063796709</v>
      </c>
      <c r="I64" s="51">
        <f t="shared" si="5"/>
        <v>-0.003680257232</v>
      </c>
      <c r="J64" s="52">
        <f t="shared" si="6"/>
        <v>0.003266174704</v>
      </c>
      <c r="K64" s="40">
        <f t="shared" si="7"/>
        <v>0.003088148168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7">
        <v>43406.0</v>
      </c>
      <c r="B65" s="39">
        <v>21.8389</v>
      </c>
      <c r="C65" s="40">
        <f t="shared" si="3"/>
        <v>0.01650034444</v>
      </c>
      <c r="D65" s="42">
        <v>10553.0</v>
      </c>
      <c r="E65" s="40">
        <f t="shared" si="4"/>
        <v>0.01662259343</v>
      </c>
      <c r="F65" s="43">
        <v>7.781</v>
      </c>
      <c r="G65" s="49">
        <f t="shared" si="1"/>
        <v>0.07781</v>
      </c>
      <c r="H65" s="50">
        <f t="shared" si="2"/>
        <v>0.0002053120452</v>
      </c>
      <c r="I65" s="51">
        <f t="shared" si="5"/>
        <v>-0.005173114442</v>
      </c>
      <c r="J65" s="52">
        <f t="shared" si="6"/>
        <v>0.02167345888</v>
      </c>
      <c r="K65" s="40">
        <f t="shared" si="7"/>
        <v>0.02179570788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7">
        <v>43409.0</v>
      </c>
      <c r="B66" s="39">
        <v>21.781</v>
      </c>
      <c r="C66" s="40">
        <f t="shared" si="3"/>
        <v>-0.002651232434</v>
      </c>
      <c r="D66" s="42">
        <v>10524.0</v>
      </c>
      <c r="E66" s="40">
        <f t="shared" si="4"/>
        <v>-0.002748033734</v>
      </c>
      <c r="F66" s="43">
        <v>7.808</v>
      </c>
      <c r="G66" s="49">
        <f t="shared" si="1"/>
        <v>0.07808</v>
      </c>
      <c r="H66" s="50">
        <f t="shared" si="2"/>
        <v>0.0002059984236</v>
      </c>
      <c r="I66" s="51">
        <f t="shared" si="5"/>
        <v>0.003343098525</v>
      </c>
      <c r="J66" s="52">
        <f t="shared" si="6"/>
        <v>-0.005994330959</v>
      </c>
      <c r="K66" s="40">
        <f t="shared" si="7"/>
        <v>-0.00609113226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7">
        <v>43410.0</v>
      </c>
      <c r="B67" s="39">
        <v>21.7932</v>
      </c>
      <c r="C67" s="40">
        <f t="shared" si="3"/>
        <v>0.0005601212066</v>
      </c>
      <c r="D67" s="42">
        <v>10530.0</v>
      </c>
      <c r="E67" s="40">
        <f t="shared" si="4"/>
        <v>0.0005701254276</v>
      </c>
      <c r="F67" s="43">
        <v>7.796</v>
      </c>
      <c r="G67" s="49">
        <f t="shared" si="1"/>
        <v>0.07796</v>
      </c>
      <c r="H67" s="50">
        <f t="shared" si="2"/>
        <v>0.0002056933877</v>
      </c>
      <c r="I67" s="51">
        <f t="shared" si="5"/>
        <v>-0.001480768119</v>
      </c>
      <c r="J67" s="52">
        <f t="shared" si="6"/>
        <v>0.002040889326</v>
      </c>
      <c r="K67" s="40">
        <f t="shared" si="7"/>
        <v>0.002050893547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7">
        <v>43413.0</v>
      </c>
      <c r="B68" s="39">
        <v>21.9064</v>
      </c>
      <c r="C68" s="40">
        <f t="shared" si="3"/>
        <v>0.005194280785</v>
      </c>
      <c r="D68" s="42">
        <v>10585.2</v>
      </c>
      <c r="E68" s="40">
        <f t="shared" si="4"/>
        <v>0.005242165242</v>
      </c>
      <c r="F68" s="43">
        <v>7.765</v>
      </c>
      <c r="G68" s="49">
        <f t="shared" si="1"/>
        <v>0.07765</v>
      </c>
      <c r="H68" s="50">
        <f t="shared" si="2"/>
        <v>0.0002049052216</v>
      </c>
      <c r="I68" s="51">
        <f t="shared" si="5"/>
        <v>-0.00383175258</v>
      </c>
      <c r="J68" s="52">
        <f t="shared" si="6"/>
        <v>0.009026033365</v>
      </c>
      <c r="K68" s="40">
        <f t="shared" si="7"/>
        <v>0.009073917823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7">
        <v>43416.0</v>
      </c>
      <c r="B69" s="39">
        <v>21.6955</v>
      </c>
      <c r="C69" s="40">
        <f t="shared" si="3"/>
        <v>-0.009627323522</v>
      </c>
      <c r="D69" s="42">
        <v>10482.2</v>
      </c>
      <c r="E69" s="40">
        <f t="shared" si="4"/>
        <v>-0.009730567207</v>
      </c>
      <c r="F69" s="43">
        <v>7.804</v>
      </c>
      <c r="G69" s="49">
        <f t="shared" si="1"/>
        <v>0.07804</v>
      </c>
      <c r="H69" s="50">
        <f t="shared" si="2"/>
        <v>0.0002058967488</v>
      </c>
      <c r="I69" s="51">
        <f t="shared" si="5"/>
        <v>0.004838955248</v>
      </c>
      <c r="J69" s="52">
        <f t="shared" si="6"/>
        <v>-0.01446627877</v>
      </c>
      <c r="K69" s="40">
        <f t="shared" si="7"/>
        <v>-0.01456952246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7">
        <v>43417.0</v>
      </c>
      <c r="B70" s="39">
        <v>21.9001</v>
      </c>
      <c r="C70" s="40">
        <f t="shared" si="3"/>
        <v>0.009430527068</v>
      </c>
      <c r="D70" s="42">
        <v>10582.5</v>
      </c>
      <c r="E70" s="40">
        <f t="shared" si="4"/>
        <v>0.009568602011</v>
      </c>
      <c r="F70" s="43">
        <v>7.762</v>
      </c>
      <c r="G70" s="49">
        <f t="shared" si="1"/>
        <v>0.07762</v>
      </c>
      <c r="H70" s="50">
        <f t="shared" si="2"/>
        <v>0.0002048289354</v>
      </c>
      <c r="I70" s="51">
        <f t="shared" si="5"/>
        <v>-0.005186159316</v>
      </c>
      <c r="J70" s="52">
        <f t="shared" si="6"/>
        <v>0.01461668638</v>
      </c>
      <c r="K70" s="40">
        <f t="shared" si="7"/>
        <v>0.01475476133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7">
        <v>43418.0</v>
      </c>
      <c r="B71" s="39">
        <v>21.8874</v>
      </c>
      <c r="C71" s="40">
        <f t="shared" si="3"/>
        <v>-0.0005799060278</v>
      </c>
      <c r="D71" s="42">
        <v>10576.3</v>
      </c>
      <c r="E71" s="40">
        <f t="shared" si="4"/>
        <v>-0.0005858729034</v>
      </c>
      <c r="F71" s="43">
        <v>7.733</v>
      </c>
      <c r="G71" s="49">
        <f t="shared" si="1"/>
        <v>0.07733</v>
      </c>
      <c r="H71" s="50">
        <f t="shared" si="2"/>
        <v>0.0002040913935</v>
      </c>
      <c r="I71" s="51">
        <f t="shared" si="5"/>
        <v>-0.003600770259</v>
      </c>
      <c r="J71" s="52">
        <f t="shared" si="6"/>
        <v>0.003020864231</v>
      </c>
      <c r="K71" s="40">
        <f t="shared" si="7"/>
        <v>0.003014897356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7">
        <v>43419.0</v>
      </c>
      <c r="B72" s="39">
        <v>21.9693</v>
      </c>
      <c r="C72" s="40">
        <f t="shared" si="3"/>
        <v>0.003741878889</v>
      </c>
      <c r="D72" s="42">
        <v>10616.7</v>
      </c>
      <c r="E72" s="40">
        <f t="shared" si="4"/>
        <v>0.003819861388</v>
      </c>
      <c r="F72" s="43">
        <v>7.756</v>
      </c>
      <c r="G72" s="49">
        <f t="shared" si="1"/>
        <v>0.07756</v>
      </c>
      <c r="H72" s="50">
        <f t="shared" si="2"/>
        <v>0.0002046763568</v>
      </c>
      <c r="I72" s="51">
        <f t="shared" si="5"/>
        <v>0.002866183068</v>
      </c>
      <c r="J72" s="52">
        <f t="shared" si="6"/>
        <v>0.0008756958215</v>
      </c>
      <c r="K72" s="40">
        <f t="shared" si="7"/>
        <v>0.0009536783205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7">
        <v>43420.0</v>
      </c>
      <c r="B73" s="39">
        <v>22.1025</v>
      </c>
      <c r="C73" s="40">
        <f t="shared" si="3"/>
        <v>0.006063006104</v>
      </c>
      <c r="D73" s="42">
        <v>10682.2</v>
      </c>
      <c r="E73" s="40">
        <f t="shared" si="4"/>
        <v>0.00616952537</v>
      </c>
      <c r="F73" s="43">
        <v>7.815</v>
      </c>
      <c r="G73" s="49">
        <f t="shared" si="1"/>
        <v>0.07815</v>
      </c>
      <c r="H73" s="50">
        <f t="shared" si="2"/>
        <v>0.0002061763456</v>
      </c>
      <c r="I73" s="51">
        <f t="shared" si="5"/>
        <v>0.007328588651</v>
      </c>
      <c r="J73" s="52">
        <f t="shared" si="6"/>
        <v>-0.001265582547</v>
      </c>
      <c r="K73" s="40">
        <f t="shared" si="7"/>
        <v>-0.001159063281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7">
        <v>43423.0</v>
      </c>
      <c r="B74" s="39">
        <v>22.2676</v>
      </c>
      <c r="C74" s="40">
        <f t="shared" si="3"/>
        <v>0.007469743242</v>
      </c>
      <c r="D74" s="42">
        <v>10763.4</v>
      </c>
      <c r="E74" s="40">
        <f t="shared" si="4"/>
        <v>0.007601430417</v>
      </c>
      <c r="F74" s="43">
        <v>7.791</v>
      </c>
      <c r="G74" s="49">
        <f t="shared" si="1"/>
        <v>0.07791</v>
      </c>
      <c r="H74" s="50">
        <f t="shared" si="2"/>
        <v>0.0002055662794</v>
      </c>
      <c r="I74" s="51">
        <f t="shared" si="5"/>
        <v>-0.002958953186</v>
      </c>
      <c r="J74" s="52">
        <f t="shared" si="6"/>
        <v>0.01042869643</v>
      </c>
      <c r="K74" s="40">
        <f t="shared" si="7"/>
        <v>0.0105603836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7">
        <v>43424.0</v>
      </c>
      <c r="B75" s="39">
        <v>22.0501</v>
      </c>
      <c r="C75" s="40">
        <f t="shared" si="3"/>
        <v>-0.009767554653</v>
      </c>
      <c r="D75" s="42">
        <v>10656.2</v>
      </c>
      <c r="E75" s="40">
        <f t="shared" si="4"/>
        <v>-0.009959678169</v>
      </c>
      <c r="F75" s="43">
        <v>7.792</v>
      </c>
      <c r="G75" s="49">
        <f t="shared" si="1"/>
        <v>0.07792</v>
      </c>
      <c r="H75" s="50">
        <f t="shared" si="2"/>
        <v>0.0002055917016</v>
      </c>
      <c r="I75" s="51">
        <f t="shared" si="5"/>
        <v>0.0001236687631</v>
      </c>
      <c r="J75" s="52">
        <f t="shared" si="6"/>
        <v>-0.009891223416</v>
      </c>
      <c r="K75" s="40">
        <f t="shared" si="7"/>
        <v>-0.01008334693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7">
        <v>43426.0</v>
      </c>
      <c r="B76" s="39">
        <v>21.787</v>
      </c>
      <c r="C76" s="40">
        <f t="shared" si="3"/>
        <v>-0.01193191868</v>
      </c>
      <c r="D76" s="42">
        <v>10526.75</v>
      </c>
      <c r="E76" s="40">
        <f t="shared" si="4"/>
        <v>-0.01214785759</v>
      </c>
      <c r="F76" s="43">
        <v>7.71</v>
      </c>
      <c r="G76" s="49">
        <f t="shared" si="1"/>
        <v>0.0771</v>
      </c>
      <c r="H76" s="50">
        <f t="shared" si="2"/>
        <v>0.0002035063056</v>
      </c>
      <c r="I76" s="51">
        <f t="shared" si="5"/>
        <v>-0.0101433858</v>
      </c>
      <c r="J76" s="52">
        <f t="shared" si="6"/>
        <v>-0.001788532879</v>
      </c>
      <c r="K76" s="40">
        <f t="shared" si="7"/>
        <v>-0.002004471788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7">
        <v>43430.0</v>
      </c>
      <c r="B77" s="39">
        <v>21.9932</v>
      </c>
      <c r="C77" s="40">
        <f t="shared" si="3"/>
        <v>0.00946435948</v>
      </c>
      <c r="D77" s="42">
        <v>10628.6</v>
      </c>
      <c r="E77" s="40">
        <f t="shared" si="4"/>
        <v>0.009675350892</v>
      </c>
      <c r="F77" s="43">
        <v>7.726</v>
      </c>
      <c r="G77" s="49">
        <f t="shared" si="1"/>
        <v>0.07726</v>
      </c>
      <c r="H77" s="50">
        <f t="shared" si="2"/>
        <v>0.0002039133364</v>
      </c>
      <c r="I77" s="51">
        <f t="shared" si="5"/>
        <v>0.002000089492</v>
      </c>
      <c r="J77" s="52">
        <f t="shared" si="6"/>
        <v>0.007464269988</v>
      </c>
      <c r="K77" s="40">
        <f t="shared" si="7"/>
        <v>0.0076752614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7">
        <v>43431.0</v>
      </c>
      <c r="B78" s="39">
        <v>22.1088</v>
      </c>
      <c r="C78" s="40">
        <f t="shared" si="3"/>
        <v>0.005256170089</v>
      </c>
      <c r="D78" s="42">
        <v>10685.6</v>
      </c>
      <c r="E78" s="40">
        <f t="shared" si="4"/>
        <v>0.005362888809</v>
      </c>
      <c r="F78" s="43">
        <v>7.734</v>
      </c>
      <c r="G78" s="49">
        <f t="shared" si="1"/>
        <v>0.07734</v>
      </c>
      <c r="H78" s="50">
        <f t="shared" si="2"/>
        <v>0.0002041168293</v>
      </c>
      <c r="I78" s="51">
        <f t="shared" si="5"/>
        <v>0.0009979376911</v>
      </c>
      <c r="J78" s="52">
        <f t="shared" si="6"/>
        <v>0.004258232398</v>
      </c>
      <c r="K78" s="40">
        <f t="shared" si="7"/>
        <v>0.004364951118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7">
        <v>43432.0</v>
      </c>
      <c r="B79" s="39">
        <v>22.1966</v>
      </c>
      <c r="C79" s="40">
        <f t="shared" si="3"/>
        <v>0.003971269359</v>
      </c>
      <c r="D79" s="42">
        <v>10728.85</v>
      </c>
      <c r="E79" s="40">
        <f t="shared" si="4"/>
        <v>0.004047503182</v>
      </c>
      <c r="F79" s="43">
        <v>7.644</v>
      </c>
      <c r="G79" s="49">
        <f t="shared" si="1"/>
        <v>0.07644</v>
      </c>
      <c r="H79" s="50">
        <f t="shared" si="2"/>
        <v>0.0002018266659</v>
      </c>
      <c r="I79" s="51">
        <f t="shared" si="5"/>
        <v>-0.01121986557</v>
      </c>
      <c r="J79" s="52">
        <f t="shared" si="6"/>
        <v>0.01519113492</v>
      </c>
      <c r="K79" s="40">
        <f t="shared" si="7"/>
        <v>0.01526736875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7">
        <v>43433.0</v>
      </c>
      <c r="B80" s="39">
        <v>22.4607</v>
      </c>
      <c r="C80" s="40">
        <f t="shared" si="3"/>
        <v>0.01189821865</v>
      </c>
      <c r="D80" s="42">
        <v>10858.7</v>
      </c>
      <c r="E80" s="40">
        <f t="shared" si="4"/>
        <v>0.01210288148</v>
      </c>
      <c r="F80" s="43">
        <v>7.608</v>
      </c>
      <c r="G80" s="49">
        <f t="shared" si="1"/>
        <v>0.07608</v>
      </c>
      <c r="H80" s="50">
        <f t="shared" si="2"/>
        <v>0.0002009100658</v>
      </c>
      <c r="I80" s="51">
        <f t="shared" si="5"/>
        <v>-0.004541521131</v>
      </c>
      <c r="J80" s="52">
        <f t="shared" si="6"/>
        <v>0.01643973978</v>
      </c>
      <c r="K80" s="40">
        <f t="shared" si="7"/>
        <v>0.01664440261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7">
        <v>43434.0</v>
      </c>
      <c r="B81" s="39">
        <v>22.4973</v>
      </c>
      <c r="C81" s="40">
        <f t="shared" si="3"/>
        <v>0.001629512883</v>
      </c>
      <c r="D81" s="42">
        <v>10876.75</v>
      </c>
      <c r="E81" s="40">
        <f t="shared" si="4"/>
        <v>0.001662261597</v>
      </c>
      <c r="F81" s="43">
        <v>7.607</v>
      </c>
      <c r="G81" s="49">
        <f t="shared" si="1"/>
        <v>0.07607</v>
      </c>
      <c r="H81" s="50">
        <f t="shared" si="2"/>
        <v>0.0002008846003</v>
      </c>
      <c r="I81" s="51">
        <f t="shared" si="5"/>
        <v>-0.0001267506327</v>
      </c>
      <c r="J81" s="52">
        <f t="shared" si="6"/>
        <v>0.001756263515</v>
      </c>
      <c r="K81" s="40">
        <f t="shared" si="7"/>
        <v>0.001789012229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7">
        <v>43437.0</v>
      </c>
      <c r="B82" s="39">
        <v>22.512</v>
      </c>
      <c r="C82" s="40">
        <f t="shared" si="3"/>
        <v>0.0006534117427</v>
      </c>
      <c r="D82" s="42">
        <v>10883.75</v>
      </c>
      <c r="E82" s="40">
        <f t="shared" si="4"/>
        <v>0.0006435745972</v>
      </c>
      <c r="F82" s="43">
        <v>7.626</v>
      </c>
      <c r="G82" s="49">
        <f t="shared" si="1"/>
        <v>0.07626</v>
      </c>
      <c r="H82" s="50">
        <f t="shared" si="2"/>
        <v>0.0002013684041</v>
      </c>
      <c r="I82" s="51">
        <f t="shared" si="5"/>
        <v>0.002408366448</v>
      </c>
      <c r="J82" s="52">
        <f t="shared" si="6"/>
        <v>-0.001754954705</v>
      </c>
      <c r="K82" s="40">
        <f t="shared" si="7"/>
        <v>-0.001764791851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7">
        <v>43438.0</v>
      </c>
      <c r="B83" s="39">
        <v>22.4824</v>
      </c>
      <c r="C83" s="40">
        <f t="shared" si="3"/>
        <v>-0.0013148543</v>
      </c>
      <c r="D83" s="42">
        <v>10869.5</v>
      </c>
      <c r="E83" s="40">
        <f t="shared" si="4"/>
        <v>-0.001309291375</v>
      </c>
      <c r="F83" s="43">
        <v>7.574</v>
      </c>
      <c r="G83" s="49">
        <f t="shared" si="1"/>
        <v>0.07574</v>
      </c>
      <c r="H83" s="50">
        <f t="shared" si="2"/>
        <v>0.0002000441071</v>
      </c>
      <c r="I83" s="51">
        <f t="shared" si="5"/>
        <v>-0.006576488198</v>
      </c>
      <c r="J83" s="52">
        <f t="shared" si="6"/>
        <v>0.005261633898</v>
      </c>
      <c r="K83" s="40">
        <f t="shared" si="7"/>
        <v>0.005267196824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7">
        <v>43439.0</v>
      </c>
      <c r="B84" s="39">
        <v>22.3036</v>
      </c>
      <c r="C84" s="40">
        <f t="shared" si="3"/>
        <v>-0.007952887592</v>
      </c>
      <c r="D84" s="42">
        <v>10782.9</v>
      </c>
      <c r="E84" s="40">
        <f t="shared" si="4"/>
        <v>-0.007967247803</v>
      </c>
      <c r="F84" s="43">
        <v>7.44</v>
      </c>
      <c r="G84" s="49">
        <f t="shared" si="1"/>
        <v>0.0744</v>
      </c>
      <c r="H84" s="50">
        <f t="shared" si="2"/>
        <v>0.0001966285514</v>
      </c>
      <c r="I84" s="51">
        <f t="shared" si="5"/>
        <v>-0.01707401319</v>
      </c>
      <c r="J84" s="52">
        <f t="shared" si="6"/>
        <v>0.009121125595</v>
      </c>
      <c r="K84" s="40">
        <f t="shared" si="7"/>
        <v>0.009106765383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7">
        <v>43440.0</v>
      </c>
      <c r="B85" s="39">
        <v>21.9279</v>
      </c>
      <c r="C85" s="40">
        <f t="shared" si="3"/>
        <v>-0.01684481429</v>
      </c>
      <c r="D85" s="42">
        <v>10601.15</v>
      </c>
      <c r="E85" s="40">
        <f t="shared" si="4"/>
        <v>-0.01685539141</v>
      </c>
      <c r="F85" s="43">
        <v>7.423</v>
      </c>
      <c r="G85" s="49">
        <f t="shared" si="1"/>
        <v>0.07423</v>
      </c>
      <c r="H85" s="50">
        <f t="shared" si="2"/>
        <v>0.000196194931</v>
      </c>
      <c r="I85" s="51">
        <f t="shared" si="5"/>
        <v>-0.002205276912</v>
      </c>
      <c r="J85" s="52">
        <f t="shared" si="6"/>
        <v>-0.01463953738</v>
      </c>
      <c r="K85" s="40">
        <f t="shared" si="7"/>
        <v>-0.01465011449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7">
        <v>43441.0</v>
      </c>
      <c r="B86" s="39">
        <v>22.1185</v>
      </c>
      <c r="C86" s="40">
        <f t="shared" si="3"/>
        <v>0.008692122821</v>
      </c>
      <c r="D86" s="42">
        <v>10693.7</v>
      </c>
      <c r="E86" s="40">
        <f t="shared" si="4"/>
        <v>0.008730184933</v>
      </c>
      <c r="F86" s="43">
        <v>7.464</v>
      </c>
      <c r="G86" s="49">
        <f t="shared" si="1"/>
        <v>0.07464</v>
      </c>
      <c r="H86" s="50">
        <f t="shared" si="2"/>
        <v>0.0001972406049</v>
      </c>
      <c r="I86" s="51">
        <f t="shared" si="5"/>
        <v>0.005329770307</v>
      </c>
      <c r="J86" s="52">
        <f t="shared" si="6"/>
        <v>0.003362352513</v>
      </c>
      <c r="K86" s="40">
        <f t="shared" si="7"/>
        <v>0.003400414625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7">
        <v>43444.0</v>
      </c>
      <c r="B87" s="39">
        <v>21.6956</v>
      </c>
      <c r="C87" s="40">
        <f t="shared" si="3"/>
        <v>-0.01911974139</v>
      </c>
      <c r="D87" s="42">
        <v>10488.45</v>
      </c>
      <c r="E87" s="40">
        <f t="shared" si="4"/>
        <v>-0.01919354386</v>
      </c>
      <c r="F87" s="43">
        <v>7.587</v>
      </c>
      <c r="G87" s="49">
        <f t="shared" si="1"/>
        <v>0.07587</v>
      </c>
      <c r="H87" s="50">
        <f t="shared" si="2"/>
        <v>0.0002003752412</v>
      </c>
      <c r="I87" s="51">
        <f t="shared" si="5"/>
        <v>0.01589244915</v>
      </c>
      <c r="J87" s="52">
        <f t="shared" si="6"/>
        <v>-0.03501219054</v>
      </c>
      <c r="K87" s="40">
        <f t="shared" si="7"/>
        <v>-0.03508599301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7">
        <v>43445.0</v>
      </c>
      <c r="B88" s="39">
        <v>21.8203</v>
      </c>
      <c r="C88" s="40">
        <f t="shared" si="3"/>
        <v>0.005747709213</v>
      </c>
      <c r="D88" s="42">
        <v>10549.15</v>
      </c>
      <c r="E88" s="40">
        <f t="shared" si="4"/>
        <v>0.005787318431</v>
      </c>
      <c r="F88" s="43">
        <v>7.528</v>
      </c>
      <c r="G88" s="49">
        <f t="shared" si="1"/>
        <v>0.07528</v>
      </c>
      <c r="H88" s="50">
        <f t="shared" si="2"/>
        <v>0.0001988720814</v>
      </c>
      <c r="I88" s="51">
        <f t="shared" si="5"/>
        <v>-0.0075017241</v>
      </c>
      <c r="J88" s="52">
        <f t="shared" si="6"/>
        <v>0.01324943331</v>
      </c>
      <c r="K88" s="40">
        <f t="shared" si="7"/>
        <v>0.01328904253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7">
        <v>43446.0</v>
      </c>
      <c r="B89" s="39">
        <v>22.2061</v>
      </c>
      <c r="C89" s="40">
        <f t="shared" si="3"/>
        <v>0.01768078349</v>
      </c>
      <c r="D89" s="42">
        <v>10737.6</v>
      </c>
      <c r="E89" s="40">
        <f t="shared" si="4"/>
        <v>0.01786399852</v>
      </c>
      <c r="F89" s="43">
        <v>7.411</v>
      </c>
      <c r="G89" s="49">
        <f t="shared" si="1"/>
        <v>0.07411</v>
      </c>
      <c r="H89" s="50">
        <f t="shared" si="2"/>
        <v>0.0001958888048</v>
      </c>
      <c r="I89" s="51">
        <f t="shared" si="5"/>
        <v>-0.01500098254</v>
      </c>
      <c r="J89" s="52">
        <f t="shared" si="6"/>
        <v>0.03268176603</v>
      </c>
      <c r="K89" s="40">
        <f t="shared" si="7"/>
        <v>0.03286498106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7">
        <v>43447.0</v>
      </c>
      <c r="B90" s="39">
        <v>22.3159</v>
      </c>
      <c r="C90" s="40">
        <f t="shared" si="3"/>
        <v>0.004944587298</v>
      </c>
      <c r="D90" s="42">
        <v>10791.55</v>
      </c>
      <c r="E90" s="40">
        <f t="shared" si="4"/>
        <v>0.005024400238</v>
      </c>
      <c r="F90" s="43">
        <v>7.408</v>
      </c>
      <c r="G90" s="49">
        <f t="shared" si="1"/>
        <v>0.07408</v>
      </c>
      <c r="H90" s="50">
        <f t="shared" si="2"/>
        <v>0.0001958122679</v>
      </c>
      <c r="I90" s="51">
        <f t="shared" si="5"/>
        <v>-0.0003907159383</v>
      </c>
      <c r="J90" s="52">
        <f t="shared" si="6"/>
        <v>0.005335303236</v>
      </c>
      <c r="K90" s="40">
        <f t="shared" si="7"/>
        <v>0.005415116177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7">
        <v>43448.0</v>
      </c>
      <c r="B91" s="39">
        <v>22.3439</v>
      </c>
      <c r="C91" s="40">
        <f t="shared" si="3"/>
        <v>0.001254710767</v>
      </c>
      <c r="D91" s="42">
        <v>10805.45</v>
      </c>
      <c r="E91" s="40">
        <f t="shared" si="4"/>
        <v>0.001288044813</v>
      </c>
      <c r="F91" s="43">
        <v>7.441</v>
      </c>
      <c r="G91" s="49">
        <f t="shared" si="1"/>
        <v>0.07441</v>
      </c>
      <c r="H91" s="50">
        <f t="shared" si="2"/>
        <v>0.0001966540564</v>
      </c>
      <c r="I91" s="51">
        <f t="shared" si="5"/>
        <v>0.004298956544</v>
      </c>
      <c r="J91" s="52">
        <f t="shared" si="6"/>
        <v>-0.003044245777</v>
      </c>
      <c r="K91" s="40">
        <f t="shared" si="7"/>
        <v>-0.003010911731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7">
        <v>43451.0</v>
      </c>
      <c r="B92" s="39">
        <v>22.5138</v>
      </c>
      <c r="C92" s="40">
        <f t="shared" si="3"/>
        <v>0.007603865037</v>
      </c>
      <c r="D92" s="42">
        <v>10888.35</v>
      </c>
      <c r="E92" s="40">
        <f t="shared" si="4"/>
        <v>0.00767205438</v>
      </c>
      <c r="F92" s="43">
        <v>7.461</v>
      </c>
      <c r="G92" s="49">
        <f t="shared" si="1"/>
        <v>0.07461</v>
      </c>
      <c r="H92" s="50">
        <f t="shared" si="2"/>
        <v>0.0001971641057</v>
      </c>
      <c r="I92" s="51">
        <f t="shared" si="5"/>
        <v>0.002593637459</v>
      </c>
      <c r="J92" s="52">
        <f t="shared" si="6"/>
        <v>0.005010227578</v>
      </c>
      <c r="K92" s="40">
        <f t="shared" si="7"/>
        <v>0.005078416921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7">
        <v>43452.0</v>
      </c>
      <c r="B93" s="39">
        <v>22.5556</v>
      </c>
      <c r="C93" s="40">
        <f t="shared" si="3"/>
        <v>0.001856639039</v>
      </c>
      <c r="D93" s="42">
        <v>10908.7</v>
      </c>
      <c r="E93" s="40">
        <f t="shared" si="4"/>
        <v>0.001868970046</v>
      </c>
      <c r="F93" s="43">
        <v>7.345</v>
      </c>
      <c r="G93" s="49">
        <f t="shared" si="1"/>
        <v>0.07345</v>
      </c>
      <c r="H93" s="50">
        <f t="shared" si="2"/>
        <v>0.0001942045008</v>
      </c>
      <c r="I93" s="51">
        <f t="shared" si="5"/>
        <v>-0.01501087048</v>
      </c>
      <c r="J93" s="52">
        <f t="shared" si="6"/>
        <v>0.01686750952</v>
      </c>
      <c r="K93" s="40">
        <f t="shared" si="7"/>
        <v>0.01687984053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7">
        <v>43453.0</v>
      </c>
      <c r="B94" s="39">
        <v>22.6753</v>
      </c>
      <c r="C94" s="40">
        <f t="shared" si="3"/>
        <v>0.005306886095</v>
      </c>
      <c r="D94" s="42">
        <v>10967.3</v>
      </c>
      <c r="E94" s="40">
        <f t="shared" si="4"/>
        <v>0.005371859158</v>
      </c>
      <c r="F94" s="43">
        <v>7.219</v>
      </c>
      <c r="G94" s="49">
        <f t="shared" si="1"/>
        <v>0.07219</v>
      </c>
      <c r="H94" s="50">
        <f t="shared" si="2"/>
        <v>0.0001909861417</v>
      </c>
      <c r="I94" s="51">
        <f t="shared" si="5"/>
        <v>-0.01657201103</v>
      </c>
      <c r="J94" s="52">
        <f t="shared" si="6"/>
        <v>0.02187889712</v>
      </c>
      <c r="K94" s="40">
        <f t="shared" si="7"/>
        <v>0.02194387019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7">
        <v>43454.0</v>
      </c>
      <c r="B95" s="39">
        <v>22.6438</v>
      </c>
      <c r="C95" s="40">
        <f t="shared" si="3"/>
        <v>-0.001389176769</v>
      </c>
      <c r="D95" s="42">
        <v>10951.7</v>
      </c>
      <c r="E95" s="40">
        <f t="shared" si="4"/>
        <v>-0.001422410256</v>
      </c>
      <c r="F95" s="43">
        <v>7.272</v>
      </c>
      <c r="G95" s="49">
        <f t="shared" si="1"/>
        <v>0.07272</v>
      </c>
      <c r="H95" s="50">
        <f t="shared" si="2"/>
        <v>0.0001923403553</v>
      </c>
      <c r="I95" s="51">
        <f t="shared" si="5"/>
        <v>0.007090637951</v>
      </c>
      <c r="J95" s="52">
        <f t="shared" si="6"/>
        <v>-0.00847981472</v>
      </c>
      <c r="K95" s="40">
        <f t="shared" si="7"/>
        <v>-0.008513048207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7">
        <v>43455.0</v>
      </c>
      <c r="B96" s="39">
        <v>22.2489</v>
      </c>
      <c r="C96" s="40">
        <f t="shared" si="3"/>
        <v>-0.01743965236</v>
      </c>
      <c r="D96" s="42">
        <v>10754.0</v>
      </c>
      <c r="E96" s="40">
        <f t="shared" si="4"/>
        <v>-0.01805199193</v>
      </c>
      <c r="F96" s="43">
        <v>7.276</v>
      </c>
      <c r="G96" s="49">
        <f t="shared" si="1"/>
        <v>0.07276</v>
      </c>
      <c r="H96" s="50">
        <f t="shared" si="2"/>
        <v>0.000192442533</v>
      </c>
      <c r="I96" s="51">
        <f t="shared" si="5"/>
        <v>0.0005312339052</v>
      </c>
      <c r="J96" s="52">
        <f t="shared" si="6"/>
        <v>-0.01797088626</v>
      </c>
      <c r="K96" s="40">
        <f t="shared" si="7"/>
        <v>-0.01858322583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7">
        <v>43458.0</v>
      </c>
      <c r="B97" s="39">
        <v>22.0651</v>
      </c>
      <c r="C97" s="40">
        <f t="shared" si="3"/>
        <v>-0.00826108257</v>
      </c>
      <c r="D97" s="42">
        <v>10663.5</v>
      </c>
      <c r="E97" s="40">
        <f t="shared" si="4"/>
        <v>-0.008415473312</v>
      </c>
      <c r="F97" s="43">
        <v>7.287</v>
      </c>
      <c r="G97" s="49">
        <f t="shared" si="1"/>
        <v>0.07287</v>
      </c>
      <c r="H97" s="50">
        <f t="shared" si="2"/>
        <v>0.0001927235021</v>
      </c>
      <c r="I97" s="51">
        <f t="shared" si="5"/>
        <v>0.001460015777</v>
      </c>
      <c r="J97" s="52">
        <f t="shared" si="6"/>
        <v>-0.009721098348</v>
      </c>
      <c r="K97" s="40">
        <f t="shared" si="7"/>
        <v>-0.00987548909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7">
        <v>43460.0</v>
      </c>
      <c r="B98" s="39">
        <v>22.1994</v>
      </c>
      <c r="C98" s="40">
        <f t="shared" si="3"/>
        <v>0.006086534845</v>
      </c>
      <c r="D98" s="42">
        <v>10729.85</v>
      </c>
      <c r="E98" s="40">
        <f t="shared" si="4"/>
        <v>0.006222159704</v>
      </c>
      <c r="F98" s="43">
        <v>7.263</v>
      </c>
      <c r="G98" s="49">
        <f t="shared" si="1"/>
        <v>0.07263</v>
      </c>
      <c r="H98" s="50">
        <f t="shared" si="2"/>
        <v>0.0001921104415</v>
      </c>
      <c r="I98" s="51">
        <f t="shared" si="5"/>
        <v>-0.003181037102</v>
      </c>
      <c r="J98" s="52">
        <f t="shared" si="6"/>
        <v>0.009267571947</v>
      </c>
      <c r="K98" s="40">
        <f t="shared" si="7"/>
        <v>0.009403196806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7">
        <v>43461.0</v>
      </c>
      <c r="B99" s="39">
        <v>22.2988</v>
      </c>
      <c r="C99" s="40">
        <f t="shared" si="3"/>
        <v>0.004477598494</v>
      </c>
      <c r="D99" s="42">
        <v>10779.8</v>
      </c>
      <c r="E99" s="40">
        <f t="shared" si="4"/>
        <v>0.004655237492</v>
      </c>
      <c r="F99" s="43">
        <v>7.277</v>
      </c>
      <c r="G99" s="49">
        <f t="shared" si="1"/>
        <v>0.07277</v>
      </c>
      <c r="H99" s="50">
        <f t="shared" si="2"/>
        <v>0.0001924680768</v>
      </c>
      <c r="I99" s="51">
        <f t="shared" si="5"/>
        <v>0.001861613087</v>
      </c>
      <c r="J99" s="52">
        <f t="shared" si="6"/>
        <v>0.002615985407</v>
      </c>
      <c r="K99" s="40">
        <f t="shared" si="7"/>
        <v>0.002793624405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7">
        <v>43462.0</v>
      </c>
      <c r="B100" s="39">
        <v>22.4682</v>
      </c>
      <c r="C100" s="40">
        <f t="shared" si="3"/>
        <v>0.007596821354</v>
      </c>
      <c r="D100" s="42">
        <v>10859.9</v>
      </c>
      <c r="E100" s="40">
        <f t="shared" si="4"/>
        <v>0.007430564574</v>
      </c>
      <c r="F100" s="43">
        <v>7.391</v>
      </c>
      <c r="G100" s="49">
        <f t="shared" si="1"/>
        <v>0.07391</v>
      </c>
      <c r="H100" s="50">
        <f t="shared" si="2"/>
        <v>0.0001953785187</v>
      </c>
      <c r="I100" s="51">
        <f t="shared" si="5"/>
        <v>0.01512168608</v>
      </c>
      <c r="J100" s="52">
        <f t="shared" si="6"/>
        <v>-0.007524864728</v>
      </c>
      <c r="K100" s="40">
        <f t="shared" si="7"/>
        <v>-0.007691121507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7">
        <v>43465.0</v>
      </c>
      <c r="B101" s="39">
        <v>22.4744</v>
      </c>
      <c r="C101" s="40">
        <f t="shared" si="3"/>
        <v>0.0002759455586</v>
      </c>
      <c r="D101" s="42">
        <v>10862.55</v>
      </c>
      <c r="E101" s="40">
        <f t="shared" si="4"/>
        <v>0.0002440169799</v>
      </c>
      <c r="F101" s="43">
        <v>7.37</v>
      </c>
      <c r="G101" s="49">
        <f t="shared" si="1"/>
        <v>0.0737</v>
      </c>
      <c r="H101" s="50">
        <f t="shared" si="2"/>
        <v>0.0001948426162</v>
      </c>
      <c r="I101" s="51">
        <f t="shared" si="5"/>
        <v>-0.002742893368</v>
      </c>
      <c r="J101" s="52">
        <f t="shared" si="6"/>
        <v>0.003018838926</v>
      </c>
      <c r="K101" s="40">
        <f t="shared" si="7"/>
        <v>0.002986910348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7">
        <v>43466.0</v>
      </c>
      <c r="B102" s="39">
        <v>22.571</v>
      </c>
      <c r="C102" s="40">
        <f t="shared" si="3"/>
        <v>0.004298223757</v>
      </c>
      <c r="D102" s="42">
        <v>10910.1</v>
      </c>
      <c r="E102" s="40">
        <f t="shared" si="4"/>
        <v>0.00437742519</v>
      </c>
      <c r="F102" s="43">
        <v>7.418</v>
      </c>
      <c r="G102" s="49">
        <f t="shared" si="1"/>
        <v>0.07418</v>
      </c>
      <c r="H102" s="50">
        <f t="shared" si="2"/>
        <v>0.0001960673826</v>
      </c>
      <c r="I102" s="51">
        <f t="shared" si="5"/>
        <v>0.006285926319</v>
      </c>
      <c r="J102" s="52">
        <f t="shared" si="6"/>
        <v>-0.001987702562</v>
      </c>
      <c r="K102" s="40">
        <f t="shared" si="7"/>
        <v>-0.001908501129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7">
        <v>43467.0</v>
      </c>
      <c r="B103" s="39">
        <v>22.3324</v>
      </c>
      <c r="C103" s="40">
        <f t="shared" si="3"/>
        <v>-0.01057108679</v>
      </c>
      <c r="D103" s="42">
        <v>10792.5</v>
      </c>
      <c r="E103" s="40">
        <f t="shared" si="4"/>
        <v>-0.01077900294</v>
      </c>
      <c r="F103" s="43">
        <v>7.354</v>
      </c>
      <c r="G103" s="49">
        <f t="shared" si="1"/>
        <v>0.07354</v>
      </c>
      <c r="H103" s="50">
        <f t="shared" si="2"/>
        <v>0.0001944342394</v>
      </c>
      <c r="I103" s="51">
        <f t="shared" si="5"/>
        <v>-0.008329499253</v>
      </c>
      <c r="J103" s="52">
        <f t="shared" si="6"/>
        <v>-0.00224158754</v>
      </c>
      <c r="K103" s="40">
        <f t="shared" si="7"/>
        <v>-0.002449503689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7">
        <v>43468.0</v>
      </c>
      <c r="B104" s="39">
        <v>22.0897</v>
      </c>
      <c r="C104" s="40">
        <f t="shared" si="3"/>
        <v>-0.01086761835</v>
      </c>
      <c r="D104" s="42">
        <v>10672.25</v>
      </c>
      <c r="E104" s="40">
        <f t="shared" si="4"/>
        <v>-0.01114199676</v>
      </c>
      <c r="F104" s="43">
        <v>7.427</v>
      </c>
      <c r="G104" s="49">
        <f t="shared" si="1"/>
        <v>0.07427</v>
      </c>
      <c r="H104" s="50">
        <f t="shared" si="2"/>
        <v>0.0001962969655</v>
      </c>
      <c r="I104" s="51">
        <f t="shared" si="5"/>
        <v>0.009580236719</v>
      </c>
      <c r="J104" s="52">
        <f t="shared" si="6"/>
        <v>-0.02044785507</v>
      </c>
      <c r="K104" s="40">
        <f t="shared" si="7"/>
        <v>-0.02072223348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7">
        <v>43469.0</v>
      </c>
      <c r="B105" s="39">
        <v>22.2006</v>
      </c>
      <c r="C105" s="40">
        <f t="shared" si="3"/>
        <v>0.00502043939</v>
      </c>
      <c r="D105" s="42">
        <v>10727.35</v>
      </c>
      <c r="E105" s="40">
        <f t="shared" si="4"/>
        <v>0.005162922533</v>
      </c>
      <c r="F105" s="43">
        <v>7.448</v>
      </c>
      <c r="G105" s="49">
        <f t="shared" si="1"/>
        <v>0.07448</v>
      </c>
      <c r="H105" s="50">
        <f t="shared" si="2"/>
        <v>0.0001968325844</v>
      </c>
      <c r="I105" s="51">
        <f t="shared" si="5"/>
        <v>0.002728615303</v>
      </c>
      <c r="J105" s="52">
        <f t="shared" si="6"/>
        <v>0.002291824088</v>
      </c>
      <c r="K105" s="40">
        <f t="shared" si="7"/>
        <v>0.00243430723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7">
        <v>43472.0</v>
      </c>
      <c r="B106" s="39">
        <v>22.2903</v>
      </c>
      <c r="C106" s="40">
        <f t="shared" si="3"/>
        <v>0.00404043134</v>
      </c>
      <c r="D106" s="42">
        <v>10771.8</v>
      </c>
      <c r="E106" s="40">
        <f t="shared" si="4"/>
        <v>0.00414361422</v>
      </c>
      <c r="F106" s="43">
        <v>7.508</v>
      </c>
      <c r="G106" s="49">
        <f t="shared" si="1"/>
        <v>0.07508</v>
      </c>
      <c r="H106" s="50">
        <f t="shared" si="2"/>
        <v>0.0001983623491</v>
      </c>
      <c r="I106" s="51">
        <f t="shared" si="5"/>
        <v>0.007771907681</v>
      </c>
      <c r="J106" s="52">
        <f t="shared" si="6"/>
        <v>-0.003731476341</v>
      </c>
      <c r="K106" s="40">
        <f t="shared" si="7"/>
        <v>-0.003628293461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7">
        <v>43473.0</v>
      </c>
      <c r="B107" s="39">
        <v>22.3531</v>
      </c>
      <c r="C107" s="40">
        <f t="shared" si="3"/>
        <v>0.00281736899</v>
      </c>
      <c r="D107" s="42">
        <v>10802.15</v>
      </c>
      <c r="E107" s="40">
        <f t="shared" si="4"/>
        <v>0.002817542101</v>
      </c>
      <c r="F107" s="43">
        <v>7.454</v>
      </c>
      <c r="G107" s="49">
        <f t="shared" si="1"/>
        <v>0.07454</v>
      </c>
      <c r="H107" s="50">
        <f t="shared" si="2"/>
        <v>0.0001969855992</v>
      </c>
      <c r="I107" s="51">
        <f t="shared" si="5"/>
        <v>-0.006940580626</v>
      </c>
      <c r="J107" s="52">
        <f t="shared" si="6"/>
        <v>0.009757949616</v>
      </c>
      <c r="K107" s="40">
        <f t="shared" si="7"/>
        <v>0.009758122726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7">
        <v>43474.0</v>
      </c>
      <c r="B108" s="39">
        <v>22.4606</v>
      </c>
      <c r="C108" s="40">
        <f t="shared" si="3"/>
        <v>0.004809176356</v>
      </c>
      <c r="D108" s="42">
        <v>10855.15</v>
      </c>
      <c r="E108" s="40">
        <f t="shared" si="4"/>
        <v>0.004906430664</v>
      </c>
      <c r="F108" s="43">
        <v>7.47</v>
      </c>
      <c r="G108" s="49">
        <f t="shared" si="1"/>
        <v>0.0747</v>
      </c>
      <c r="H108" s="50">
        <f t="shared" si="2"/>
        <v>0.000197393597</v>
      </c>
      <c r="I108" s="51">
        <f t="shared" si="5"/>
        <v>0.002071206269</v>
      </c>
      <c r="J108" s="52">
        <f t="shared" si="6"/>
        <v>0.002737970087</v>
      </c>
      <c r="K108" s="40">
        <f t="shared" si="7"/>
        <v>0.002835224395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7">
        <v>43475.0</v>
      </c>
      <c r="B109" s="39">
        <v>22.3932</v>
      </c>
      <c r="C109" s="40">
        <f t="shared" si="3"/>
        <v>-0.003000810308</v>
      </c>
      <c r="D109" s="42">
        <v>10821.6</v>
      </c>
      <c r="E109" s="40">
        <f t="shared" si="4"/>
        <v>-0.003090698885</v>
      </c>
      <c r="F109" s="43">
        <v>7.476</v>
      </c>
      <c r="G109" s="49">
        <f t="shared" si="1"/>
        <v>0.07476</v>
      </c>
      <c r="H109" s="50">
        <f t="shared" si="2"/>
        <v>0.0001975465806</v>
      </c>
      <c r="I109" s="51">
        <f t="shared" si="5"/>
        <v>0.0007750178489</v>
      </c>
      <c r="J109" s="52">
        <f t="shared" si="6"/>
        <v>-0.003775828157</v>
      </c>
      <c r="K109" s="40">
        <f t="shared" si="7"/>
        <v>-0.003865716734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7">
        <v>43476.0</v>
      </c>
      <c r="B110" s="39">
        <v>22.3384</v>
      </c>
      <c r="C110" s="40">
        <f t="shared" si="3"/>
        <v>-0.002447171463</v>
      </c>
      <c r="D110" s="42">
        <v>10794.95</v>
      </c>
      <c r="E110" s="40">
        <f t="shared" si="4"/>
        <v>-0.002462667258</v>
      </c>
      <c r="F110" s="43">
        <v>7.503</v>
      </c>
      <c r="G110" s="49">
        <f t="shared" si="1"/>
        <v>0.07503</v>
      </c>
      <c r="H110" s="50">
        <f t="shared" si="2"/>
        <v>0.0001982349012</v>
      </c>
      <c r="I110" s="51">
        <f t="shared" si="5"/>
        <v>0.003484346021</v>
      </c>
      <c r="J110" s="52">
        <f t="shared" si="6"/>
        <v>-0.005931517483</v>
      </c>
      <c r="K110" s="40">
        <f t="shared" si="7"/>
        <v>-0.005947013279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7">
        <v>43479.0</v>
      </c>
      <c r="B111" s="39">
        <v>22.2227</v>
      </c>
      <c r="C111" s="40">
        <f t="shared" si="3"/>
        <v>-0.005179421982</v>
      </c>
      <c r="D111" s="42">
        <v>10737.6</v>
      </c>
      <c r="E111" s="40">
        <f t="shared" si="4"/>
        <v>-0.00531266935</v>
      </c>
      <c r="F111" s="43">
        <v>7.431</v>
      </c>
      <c r="G111" s="49">
        <f t="shared" si="1"/>
        <v>0.07431</v>
      </c>
      <c r="H111" s="50">
        <f t="shared" si="2"/>
        <v>0.0001963989962</v>
      </c>
      <c r="I111" s="51">
        <f t="shared" si="5"/>
        <v>-0.009261260267</v>
      </c>
      <c r="J111" s="52">
        <f t="shared" si="6"/>
        <v>0.004081838285</v>
      </c>
      <c r="K111" s="40">
        <f t="shared" si="7"/>
        <v>0.003948590917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7">
        <v>43480.0</v>
      </c>
      <c r="B112" s="39">
        <v>22.5235</v>
      </c>
      <c r="C112" s="40">
        <f t="shared" si="3"/>
        <v>0.01353570898</v>
      </c>
      <c r="D112" s="42">
        <v>10886.8</v>
      </c>
      <c r="E112" s="40">
        <f t="shared" si="4"/>
        <v>0.0138950976</v>
      </c>
      <c r="F112" s="43">
        <v>7.473</v>
      </c>
      <c r="G112" s="49">
        <f t="shared" si="1"/>
        <v>0.07473</v>
      </c>
      <c r="H112" s="50">
        <f t="shared" si="2"/>
        <v>0.0001974700898</v>
      </c>
      <c r="I112" s="51">
        <f t="shared" si="5"/>
        <v>0.005453661563</v>
      </c>
      <c r="J112" s="52">
        <f t="shared" si="6"/>
        <v>0.008082047419</v>
      </c>
      <c r="K112" s="40">
        <f t="shared" si="7"/>
        <v>0.008441436038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7">
        <v>43481.0</v>
      </c>
      <c r="B113" s="39">
        <v>22.5304</v>
      </c>
      <c r="C113" s="40">
        <f t="shared" si="3"/>
        <v>0.0003063467046</v>
      </c>
      <c r="D113" s="42">
        <v>10890.3</v>
      </c>
      <c r="E113" s="40">
        <f t="shared" si="4"/>
        <v>0.0003214902451</v>
      </c>
      <c r="F113" s="43">
        <v>7.563</v>
      </c>
      <c r="G113" s="49">
        <f t="shared" si="1"/>
        <v>0.07563</v>
      </c>
      <c r="H113" s="50">
        <f t="shared" si="2"/>
        <v>0.0001997638856</v>
      </c>
      <c r="I113" s="51">
        <f t="shared" si="5"/>
        <v>0.01161591483</v>
      </c>
      <c r="J113" s="52">
        <f t="shared" si="6"/>
        <v>-0.01130956813</v>
      </c>
      <c r="K113" s="40">
        <f t="shared" si="7"/>
        <v>-0.01129442459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7">
        <v>43482.0</v>
      </c>
      <c r="B114" s="39">
        <v>22.5627</v>
      </c>
      <c r="C114" s="40">
        <f t="shared" si="3"/>
        <v>0.001433618578</v>
      </c>
      <c r="D114" s="42">
        <v>10905.2</v>
      </c>
      <c r="E114" s="40">
        <f t="shared" si="4"/>
        <v>0.001368190041</v>
      </c>
      <c r="F114" s="43">
        <v>7.549</v>
      </c>
      <c r="G114" s="49">
        <f t="shared" si="1"/>
        <v>0.07549</v>
      </c>
      <c r="H114" s="50">
        <f t="shared" si="2"/>
        <v>0.0001994071986</v>
      </c>
      <c r="I114" s="51">
        <f t="shared" si="5"/>
        <v>-0.001785542627</v>
      </c>
      <c r="J114" s="52">
        <f t="shared" si="6"/>
        <v>0.003219161205</v>
      </c>
      <c r="K114" s="40">
        <f t="shared" si="7"/>
        <v>0.003153732668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7">
        <v>43483.0</v>
      </c>
      <c r="B115" s="39">
        <v>22.5662</v>
      </c>
      <c r="C115" s="40">
        <f t="shared" si="3"/>
        <v>0.0001551232787</v>
      </c>
      <c r="D115" s="42">
        <v>10906.95</v>
      </c>
      <c r="E115" s="40">
        <f t="shared" si="4"/>
        <v>0.0001604739024</v>
      </c>
      <c r="F115" s="43">
        <v>7.596</v>
      </c>
      <c r="G115" s="49">
        <f t="shared" si="1"/>
        <v>0.07596</v>
      </c>
      <c r="H115" s="50">
        <f t="shared" si="2"/>
        <v>0.0002006044645</v>
      </c>
      <c r="I115" s="51">
        <f t="shared" si="5"/>
        <v>0.006004125465</v>
      </c>
      <c r="J115" s="52">
        <f t="shared" si="6"/>
        <v>-0.005849002187</v>
      </c>
      <c r="K115" s="40">
        <f t="shared" si="7"/>
        <v>-0.005843651563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7">
        <v>43486.0</v>
      </c>
      <c r="B116" s="39">
        <v>22.6801</v>
      </c>
      <c r="C116" s="40">
        <f t="shared" si="3"/>
        <v>0.005047371733</v>
      </c>
      <c r="D116" s="42">
        <v>10961.85</v>
      </c>
      <c r="E116" s="40">
        <f t="shared" si="4"/>
        <v>0.005033487822</v>
      </c>
      <c r="F116" s="43">
        <v>7.569</v>
      </c>
      <c r="G116" s="49">
        <f t="shared" si="1"/>
        <v>0.07569</v>
      </c>
      <c r="H116" s="50">
        <f t="shared" si="2"/>
        <v>0.0001999167372</v>
      </c>
      <c r="I116" s="51">
        <f t="shared" si="5"/>
        <v>-0.0034282749</v>
      </c>
      <c r="J116" s="52">
        <f t="shared" si="6"/>
        <v>0.008475646633</v>
      </c>
      <c r="K116" s="40">
        <f t="shared" si="7"/>
        <v>0.008461762722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7">
        <v>43487.0</v>
      </c>
      <c r="B117" s="39">
        <v>22.6008</v>
      </c>
      <c r="C117" s="40">
        <f t="shared" si="3"/>
        <v>-0.003496457247</v>
      </c>
      <c r="D117" s="42">
        <v>10922.75</v>
      </c>
      <c r="E117" s="40">
        <f t="shared" si="4"/>
        <v>-0.003566916168</v>
      </c>
      <c r="F117" s="43">
        <v>7.533</v>
      </c>
      <c r="G117" s="49">
        <f t="shared" si="1"/>
        <v>0.07533</v>
      </c>
      <c r="H117" s="50">
        <f t="shared" si="2"/>
        <v>0.0001989994997</v>
      </c>
      <c r="I117" s="51">
        <f t="shared" si="5"/>
        <v>-0.004588097595</v>
      </c>
      <c r="J117" s="52">
        <f t="shared" si="6"/>
        <v>0.001091640348</v>
      </c>
      <c r="K117" s="40">
        <f t="shared" si="7"/>
        <v>0.001021181426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7">
        <v>43488.0</v>
      </c>
      <c r="B118" s="39">
        <v>22.4155</v>
      </c>
      <c r="C118" s="40">
        <f t="shared" si="3"/>
        <v>-0.00819882482</v>
      </c>
      <c r="D118" s="42">
        <v>10831.5</v>
      </c>
      <c r="E118" s="40">
        <f t="shared" si="4"/>
        <v>-0.008354123275</v>
      </c>
      <c r="F118" s="43">
        <v>7.577</v>
      </c>
      <c r="G118" s="49">
        <f t="shared" si="1"/>
        <v>0.07577</v>
      </c>
      <c r="H118" s="50">
        <f t="shared" si="2"/>
        <v>0.0002001205262</v>
      </c>
      <c r="I118" s="51">
        <f t="shared" si="5"/>
        <v>0.005633313074</v>
      </c>
      <c r="J118" s="52">
        <f t="shared" si="6"/>
        <v>-0.01383213789</v>
      </c>
      <c r="K118" s="40">
        <f t="shared" si="7"/>
        <v>-0.01398743635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7">
        <v>43489.0</v>
      </c>
      <c r="B119" s="39">
        <v>22.4602</v>
      </c>
      <c r="C119" s="40">
        <f t="shared" si="3"/>
        <v>0.00199415583</v>
      </c>
      <c r="D119" s="42">
        <v>10849.8</v>
      </c>
      <c r="E119" s="40">
        <f t="shared" si="4"/>
        <v>0.001689516687</v>
      </c>
      <c r="F119" s="43">
        <v>7.557</v>
      </c>
      <c r="G119" s="49">
        <f t="shared" si="1"/>
        <v>0.07557</v>
      </c>
      <c r="H119" s="50">
        <f t="shared" si="2"/>
        <v>0.0001996110254</v>
      </c>
      <c r="I119" s="51">
        <f t="shared" si="5"/>
        <v>-0.002545969706</v>
      </c>
      <c r="J119" s="52">
        <f t="shared" si="6"/>
        <v>0.004540125536</v>
      </c>
      <c r="K119" s="40">
        <f t="shared" si="7"/>
        <v>0.004235486394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7">
        <v>43490.0</v>
      </c>
      <c r="B120" s="39">
        <v>22.3198</v>
      </c>
      <c r="C120" s="40">
        <f t="shared" si="3"/>
        <v>-0.006251057426</v>
      </c>
      <c r="D120" s="42">
        <v>10780.55</v>
      </c>
      <c r="E120" s="40">
        <f t="shared" si="4"/>
        <v>-0.006382606131</v>
      </c>
      <c r="F120" s="43">
        <v>7.546</v>
      </c>
      <c r="G120" s="49">
        <f t="shared" si="1"/>
        <v>0.07546</v>
      </c>
      <c r="H120" s="50">
        <f t="shared" si="2"/>
        <v>0.0001993307597</v>
      </c>
      <c r="I120" s="51">
        <f t="shared" si="5"/>
        <v>-0.001404059279</v>
      </c>
      <c r="J120" s="52">
        <f t="shared" si="6"/>
        <v>-0.004846998147</v>
      </c>
      <c r="K120" s="40">
        <f t="shared" si="7"/>
        <v>-0.004978546852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7">
        <v>43493.0</v>
      </c>
      <c r="B121" s="39">
        <v>22.077</v>
      </c>
      <c r="C121" s="40">
        <f t="shared" si="3"/>
        <v>-0.01087823368</v>
      </c>
      <c r="D121" s="42">
        <v>10661.55</v>
      </c>
      <c r="E121" s="40">
        <f t="shared" si="4"/>
        <v>-0.01103839786</v>
      </c>
      <c r="F121" s="43">
        <v>7.541</v>
      </c>
      <c r="G121" s="49">
        <f t="shared" si="1"/>
        <v>0.07541</v>
      </c>
      <c r="H121" s="50">
        <f t="shared" si="2"/>
        <v>0.0001992033568</v>
      </c>
      <c r="I121" s="51">
        <f t="shared" si="5"/>
        <v>-0.0006391535174</v>
      </c>
      <c r="J121" s="52">
        <f t="shared" si="6"/>
        <v>-0.01023908016</v>
      </c>
      <c r="K121" s="40">
        <f t="shared" si="7"/>
        <v>-0.01039924434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7">
        <v>43494.0</v>
      </c>
      <c r="B122" s="39">
        <v>22.0586</v>
      </c>
      <c r="C122" s="40">
        <f t="shared" si="3"/>
        <v>-0.0008334465734</v>
      </c>
      <c r="D122" s="42">
        <v>10652.2</v>
      </c>
      <c r="E122" s="40">
        <f t="shared" si="4"/>
        <v>-0.0008769831779</v>
      </c>
      <c r="F122" s="43">
        <v>7.525</v>
      </c>
      <c r="G122" s="49">
        <f t="shared" si="1"/>
        <v>0.07525</v>
      </c>
      <c r="H122" s="50">
        <f t="shared" si="2"/>
        <v>0.0001987956276</v>
      </c>
      <c r="I122" s="51">
        <f t="shared" si="5"/>
        <v>-0.002046798643</v>
      </c>
      <c r="J122" s="52">
        <f t="shared" si="6"/>
        <v>0.001213352069</v>
      </c>
      <c r="K122" s="40">
        <f t="shared" si="7"/>
        <v>0.001169815465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7">
        <v>43495.0</v>
      </c>
      <c r="B123" s="39">
        <v>22.0568</v>
      </c>
      <c r="C123" s="40">
        <f t="shared" si="3"/>
        <v>-0.00008160082689</v>
      </c>
      <c r="D123" s="42">
        <v>10651.8</v>
      </c>
      <c r="E123" s="40">
        <f t="shared" si="4"/>
        <v>-0.00003755092845</v>
      </c>
      <c r="F123" s="43">
        <v>7.551</v>
      </c>
      <c r="G123" s="49">
        <f t="shared" si="1"/>
        <v>0.07551</v>
      </c>
      <c r="H123" s="50">
        <f t="shared" si="2"/>
        <v>0.0001994581568</v>
      </c>
      <c r="I123" s="51">
        <f t="shared" si="5"/>
        <v>0.003332714979</v>
      </c>
      <c r="J123" s="52">
        <f t="shared" si="6"/>
        <v>-0.003414315805</v>
      </c>
      <c r="K123" s="40">
        <f t="shared" si="7"/>
        <v>-0.003370265907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7">
        <v>43496.0</v>
      </c>
      <c r="B124" s="39">
        <v>22.423</v>
      </c>
      <c r="C124" s="40">
        <f t="shared" si="3"/>
        <v>0.01660258968</v>
      </c>
      <c r="D124" s="42">
        <v>10830.95</v>
      </c>
      <c r="E124" s="40">
        <f t="shared" si="4"/>
        <v>0.01681875364</v>
      </c>
      <c r="F124" s="43">
        <v>7.483</v>
      </c>
      <c r="G124" s="49">
        <f t="shared" si="1"/>
        <v>0.07483</v>
      </c>
      <c r="H124" s="50">
        <f t="shared" si="2"/>
        <v>0.0001977250506</v>
      </c>
      <c r="I124" s="51">
        <f t="shared" si="5"/>
        <v>-0.008689071324</v>
      </c>
      <c r="J124" s="52">
        <f t="shared" si="6"/>
        <v>0.025291661</v>
      </c>
      <c r="K124" s="40">
        <f t="shared" si="7"/>
        <v>0.02550782496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7">
        <v>43497.0</v>
      </c>
      <c r="B125" s="39">
        <v>22.551</v>
      </c>
      <c r="C125" s="40">
        <f t="shared" si="3"/>
        <v>0.005708424386</v>
      </c>
      <c r="D125" s="42">
        <v>10893.65</v>
      </c>
      <c r="E125" s="40">
        <f t="shared" si="4"/>
        <v>0.00578896588</v>
      </c>
      <c r="F125" s="43">
        <v>7.61</v>
      </c>
      <c r="G125" s="49">
        <f t="shared" si="1"/>
        <v>0.0761</v>
      </c>
      <c r="H125" s="50">
        <f t="shared" si="2"/>
        <v>0.000200960996</v>
      </c>
      <c r="I125" s="51">
        <f t="shared" si="5"/>
        <v>0.01636588501</v>
      </c>
      <c r="J125" s="52">
        <f t="shared" si="6"/>
        <v>-0.01065746062</v>
      </c>
      <c r="K125" s="40">
        <f t="shared" si="7"/>
        <v>-0.01057691913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7">
        <v>43500.0</v>
      </c>
      <c r="B126" s="39">
        <v>22.5889</v>
      </c>
      <c r="C126" s="40">
        <f t="shared" si="3"/>
        <v>0.001680635005</v>
      </c>
      <c r="D126" s="42">
        <v>10912.25</v>
      </c>
      <c r="E126" s="40">
        <f t="shared" si="4"/>
        <v>0.001707416706</v>
      </c>
      <c r="F126" s="43">
        <v>7.672</v>
      </c>
      <c r="G126" s="49">
        <f t="shared" si="1"/>
        <v>0.07672</v>
      </c>
      <c r="H126" s="50">
        <f t="shared" si="2"/>
        <v>0.0002025393657</v>
      </c>
      <c r="I126" s="51">
        <f t="shared" si="5"/>
        <v>0.007854109446</v>
      </c>
      <c r="J126" s="52">
        <f t="shared" si="6"/>
        <v>-0.006173474441</v>
      </c>
      <c r="K126" s="40">
        <f t="shared" si="7"/>
        <v>-0.00614669274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7">
        <v>43501.0</v>
      </c>
      <c r="B127" s="39">
        <v>22.6343</v>
      </c>
      <c r="C127" s="40">
        <f t="shared" si="3"/>
        <v>0.00200983669</v>
      </c>
      <c r="D127" s="42">
        <v>10934.35</v>
      </c>
      <c r="E127" s="40">
        <f t="shared" si="4"/>
        <v>0.002025246856</v>
      </c>
      <c r="F127" s="43">
        <v>7.615</v>
      </c>
      <c r="G127" s="49">
        <f t="shared" si="1"/>
        <v>0.07615</v>
      </c>
      <c r="H127" s="50">
        <f t="shared" si="2"/>
        <v>0.0002010883175</v>
      </c>
      <c r="I127" s="51">
        <f t="shared" si="5"/>
        <v>-0.007164277235</v>
      </c>
      <c r="J127" s="52">
        <f t="shared" si="6"/>
        <v>0.009174113925</v>
      </c>
      <c r="K127" s="40">
        <f t="shared" si="7"/>
        <v>0.009189524091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7">
        <v>43502.0</v>
      </c>
      <c r="B128" s="39">
        <v>22.902</v>
      </c>
      <c r="C128" s="40">
        <f t="shared" si="3"/>
        <v>0.01182718264</v>
      </c>
      <c r="D128" s="42">
        <v>11062.45</v>
      </c>
      <c r="E128" s="40">
        <f t="shared" si="4"/>
        <v>0.01171537403</v>
      </c>
      <c r="F128" s="43">
        <v>7.565</v>
      </c>
      <c r="G128" s="49">
        <f t="shared" si="1"/>
        <v>0.07565</v>
      </c>
      <c r="H128" s="50">
        <f t="shared" si="2"/>
        <v>0.0001998148371</v>
      </c>
      <c r="I128" s="51">
        <f t="shared" si="5"/>
        <v>-0.006332941058</v>
      </c>
      <c r="J128" s="52">
        <f t="shared" si="6"/>
        <v>0.0181601237</v>
      </c>
      <c r="K128" s="40">
        <f t="shared" si="7"/>
        <v>0.01804831509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7">
        <v>43503.0</v>
      </c>
      <c r="B129" s="39">
        <v>22.9162</v>
      </c>
      <c r="C129" s="40">
        <f t="shared" si="3"/>
        <v>0.0006200331849</v>
      </c>
      <c r="D129" s="42">
        <v>11069.4</v>
      </c>
      <c r="E129" s="40">
        <f t="shared" si="4"/>
        <v>0.0006282514271</v>
      </c>
      <c r="F129" s="43">
        <v>7.501</v>
      </c>
      <c r="G129" s="49">
        <f t="shared" si="1"/>
        <v>0.07501</v>
      </c>
      <c r="H129" s="50">
        <f t="shared" si="2"/>
        <v>0.0001981839204</v>
      </c>
      <c r="I129" s="51">
        <f t="shared" si="5"/>
        <v>-0.008162140057</v>
      </c>
      <c r="J129" s="52">
        <f t="shared" si="6"/>
        <v>0.008782173242</v>
      </c>
      <c r="K129" s="40">
        <f t="shared" si="7"/>
        <v>0.008790391484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7">
        <v>43504.0</v>
      </c>
      <c r="B130" s="39">
        <v>22.6561</v>
      </c>
      <c r="C130" s="40">
        <f t="shared" si="3"/>
        <v>-0.01135004931</v>
      </c>
      <c r="D130" s="42">
        <v>10943.6</v>
      </c>
      <c r="E130" s="40">
        <f t="shared" si="4"/>
        <v>-0.01136466294</v>
      </c>
      <c r="F130" s="43">
        <v>7.524</v>
      </c>
      <c r="G130" s="49">
        <f t="shared" si="1"/>
        <v>0.07524</v>
      </c>
      <c r="H130" s="50">
        <f t="shared" si="2"/>
        <v>0.0001987701425</v>
      </c>
      <c r="I130" s="51">
        <f t="shared" si="5"/>
        <v>0.002957970145</v>
      </c>
      <c r="J130" s="52">
        <f t="shared" si="6"/>
        <v>-0.01430801946</v>
      </c>
      <c r="K130" s="40">
        <f t="shared" si="7"/>
        <v>-0.01432263309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7">
        <v>43507.0</v>
      </c>
      <c r="B131" s="39">
        <v>22.5483</v>
      </c>
      <c r="C131" s="40">
        <f t="shared" si="3"/>
        <v>-0.004758100467</v>
      </c>
      <c r="D131" s="42">
        <v>10888.8</v>
      </c>
      <c r="E131" s="40">
        <f t="shared" si="4"/>
        <v>-0.005007492964</v>
      </c>
      <c r="F131" s="43">
        <v>7.529</v>
      </c>
      <c r="G131" s="49">
        <f t="shared" si="1"/>
        <v>0.07529</v>
      </c>
      <c r="H131" s="50">
        <f t="shared" si="2"/>
        <v>0.0001988975656</v>
      </c>
      <c r="I131" s="51">
        <f t="shared" si="5"/>
        <v>0.0006410572626</v>
      </c>
      <c r="J131" s="52">
        <f t="shared" si="6"/>
        <v>-0.00539915773</v>
      </c>
      <c r="K131" s="40">
        <f t="shared" si="7"/>
        <v>-0.005648550227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7">
        <v>43508.0</v>
      </c>
      <c r="B132" s="39">
        <v>22.4329</v>
      </c>
      <c r="C132" s="40">
        <f t="shared" si="3"/>
        <v>-0.005117902458</v>
      </c>
      <c r="D132" s="42">
        <v>10831.4</v>
      </c>
      <c r="E132" s="40">
        <f t="shared" si="4"/>
        <v>-0.005271471604</v>
      </c>
      <c r="F132" s="43">
        <v>7.534</v>
      </c>
      <c r="G132" s="49">
        <f t="shared" si="1"/>
        <v>0.07534</v>
      </c>
      <c r="H132" s="50">
        <f t="shared" si="2"/>
        <v>0.0001990249827</v>
      </c>
      <c r="I132" s="51">
        <f t="shared" si="5"/>
        <v>0.0006406168647</v>
      </c>
      <c r="J132" s="52">
        <f t="shared" si="6"/>
        <v>-0.005758519323</v>
      </c>
      <c r="K132" s="40">
        <f t="shared" si="7"/>
        <v>-0.005912088469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7">
        <v>43509.0</v>
      </c>
      <c r="B133" s="39">
        <v>22.355</v>
      </c>
      <c r="C133" s="40">
        <f t="shared" si="3"/>
        <v>-0.003472578222</v>
      </c>
      <c r="D133" s="42">
        <v>10793.65</v>
      </c>
      <c r="E133" s="40">
        <f t="shared" si="4"/>
        <v>-0.003485237365</v>
      </c>
      <c r="F133" s="43">
        <v>7.466</v>
      </c>
      <c r="G133" s="49">
        <f t="shared" si="1"/>
        <v>0.07466</v>
      </c>
      <c r="H133" s="50">
        <f t="shared" si="2"/>
        <v>0.0001972916032</v>
      </c>
      <c r="I133" s="51">
        <f t="shared" si="5"/>
        <v>-0.008709356225</v>
      </c>
      <c r="J133" s="52">
        <f t="shared" si="6"/>
        <v>0.005236778003</v>
      </c>
      <c r="K133" s="40">
        <f t="shared" si="7"/>
        <v>0.00522411886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7">
        <v>43510.0</v>
      </c>
      <c r="B134" s="39">
        <v>22.2595</v>
      </c>
      <c r="C134" s="40">
        <f t="shared" si="3"/>
        <v>-0.00427197495</v>
      </c>
      <c r="D134" s="42">
        <v>10746.05</v>
      </c>
      <c r="E134" s="40">
        <f t="shared" si="4"/>
        <v>-0.004410000324</v>
      </c>
      <c r="F134" s="43">
        <v>7.521</v>
      </c>
      <c r="G134" s="49">
        <f t="shared" si="1"/>
        <v>0.07521</v>
      </c>
      <c r="H134" s="50">
        <f t="shared" si="2"/>
        <v>0.0001986936858</v>
      </c>
      <c r="I134" s="51">
        <f t="shared" si="5"/>
        <v>0.007106651313</v>
      </c>
      <c r="J134" s="52">
        <f t="shared" si="6"/>
        <v>-0.01137862626</v>
      </c>
      <c r="K134" s="40">
        <f t="shared" si="7"/>
        <v>-0.01151665164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37">
        <v>43511.0</v>
      </c>
      <c r="B135" s="39">
        <v>22.2146</v>
      </c>
      <c r="C135" s="40">
        <f t="shared" si="3"/>
        <v>-0.002017116287</v>
      </c>
      <c r="D135" s="42">
        <v>10724.4</v>
      </c>
      <c r="E135" s="40">
        <f t="shared" si="4"/>
        <v>-0.002014693771</v>
      </c>
      <c r="F135" s="43">
        <v>7.577</v>
      </c>
      <c r="G135" s="49">
        <f t="shared" si="1"/>
        <v>0.07577</v>
      </c>
      <c r="H135" s="50">
        <f t="shared" si="2"/>
        <v>0.0002001205262</v>
      </c>
      <c r="I135" s="51">
        <f t="shared" si="5"/>
        <v>0.007181105751</v>
      </c>
      <c r="J135" s="52">
        <f t="shared" si="6"/>
        <v>-0.009198222038</v>
      </c>
      <c r="K135" s="40">
        <f t="shared" si="7"/>
        <v>-0.009195799522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7">
        <v>43514.0</v>
      </c>
      <c r="B136" s="39">
        <v>22.0434</v>
      </c>
      <c r="C136" s="40">
        <f t="shared" si="3"/>
        <v>-0.007706643379</v>
      </c>
      <c r="D136" s="42">
        <v>10640.95</v>
      </c>
      <c r="E136" s="40">
        <f t="shared" si="4"/>
        <v>-0.0077813211</v>
      </c>
      <c r="F136" s="43">
        <v>7.58</v>
      </c>
      <c r="G136" s="49">
        <f t="shared" si="1"/>
        <v>0.0758</v>
      </c>
      <c r="H136" s="50">
        <f t="shared" si="2"/>
        <v>0.0002001969432</v>
      </c>
      <c r="I136" s="51">
        <f t="shared" si="5"/>
        <v>0.0003818547429</v>
      </c>
      <c r="J136" s="52">
        <f t="shared" si="6"/>
        <v>-0.008088498122</v>
      </c>
      <c r="K136" s="40">
        <f t="shared" si="7"/>
        <v>-0.008163175842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7">
        <v>43516.0</v>
      </c>
      <c r="B137" s="39">
        <v>22.2361</v>
      </c>
      <c r="C137" s="40">
        <f t="shared" si="3"/>
        <v>0.008741845632</v>
      </c>
      <c r="D137" s="42">
        <v>10735.45</v>
      </c>
      <c r="E137" s="40">
        <f t="shared" si="4"/>
        <v>0.00888078602</v>
      </c>
      <c r="F137" s="43">
        <v>7.545</v>
      </c>
      <c r="G137" s="49">
        <f t="shared" si="1"/>
        <v>0.07545</v>
      </c>
      <c r="H137" s="50">
        <f t="shared" si="2"/>
        <v>0.0001993052796</v>
      </c>
      <c r="I137" s="51">
        <f t="shared" si="5"/>
        <v>-0.004453932144</v>
      </c>
      <c r="J137" s="52">
        <f t="shared" si="6"/>
        <v>0.01319577778</v>
      </c>
      <c r="K137" s="40">
        <f t="shared" si="7"/>
        <v>0.01333471816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7">
        <v>43517.0</v>
      </c>
      <c r="B138" s="39">
        <v>22.3515</v>
      </c>
      <c r="C138" s="40">
        <f t="shared" si="3"/>
        <v>0.005189758996</v>
      </c>
      <c r="D138" s="42">
        <v>10789.85</v>
      </c>
      <c r="E138" s="40">
        <f t="shared" si="4"/>
        <v>0.00506732368</v>
      </c>
      <c r="F138" s="43">
        <v>7.544</v>
      </c>
      <c r="G138" s="49">
        <f t="shared" si="1"/>
        <v>0.07544</v>
      </c>
      <c r="H138" s="50">
        <f t="shared" si="2"/>
        <v>0.0001992797992</v>
      </c>
      <c r="I138" s="51">
        <f t="shared" si="5"/>
        <v>-0.0001278458603</v>
      </c>
      <c r="J138" s="52">
        <f t="shared" si="6"/>
        <v>0.005317604856</v>
      </c>
      <c r="K138" s="40">
        <f t="shared" si="7"/>
        <v>0.00519516954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7">
        <v>43518.0</v>
      </c>
      <c r="B139" s="39">
        <v>22.3553</v>
      </c>
      <c r="C139" s="40">
        <f t="shared" si="3"/>
        <v>0.0001700109612</v>
      </c>
      <c r="D139" s="42">
        <v>10791.65</v>
      </c>
      <c r="E139" s="40">
        <f t="shared" si="4"/>
        <v>0.0001668234498</v>
      </c>
      <c r="F139" s="43">
        <v>7.605</v>
      </c>
      <c r="G139" s="49">
        <f t="shared" si="1"/>
        <v>0.07605</v>
      </c>
      <c r="H139" s="50">
        <f t="shared" si="2"/>
        <v>0.0002008336687</v>
      </c>
      <c r="I139" s="51">
        <f t="shared" si="5"/>
        <v>0.007797425676</v>
      </c>
      <c r="J139" s="52">
        <f t="shared" si="6"/>
        <v>-0.007627414715</v>
      </c>
      <c r="K139" s="40">
        <f t="shared" si="7"/>
        <v>-0.007630602227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7">
        <v>43521.0</v>
      </c>
      <c r="B140" s="39">
        <v>22.5346</v>
      </c>
      <c r="C140" s="40">
        <f t="shared" si="3"/>
        <v>0.008020469419</v>
      </c>
      <c r="D140" s="42">
        <v>10880.1</v>
      </c>
      <c r="E140" s="40">
        <f t="shared" si="4"/>
        <v>0.008196151654</v>
      </c>
      <c r="F140" s="43">
        <v>7.584</v>
      </c>
      <c r="G140" s="49">
        <f t="shared" si="1"/>
        <v>0.07584</v>
      </c>
      <c r="H140" s="50">
        <f t="shared" si="2"/>
        <v>0.0002002988292</v>
      </c>
      <c r="I140" s="51">
        <f t="shared" si="5"/>
        <v>-0.002663096687</v>
      </c>
      <c r="J140" s="52">
        <f t="shared" si="6"/>
        <v>0.01068356611</v>
      </c>
      <c r="K140" s="40">
        <f t="shared" si="7"/>
        <v>0.01085924834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7">
        <v>43522.0</v>
      </c>
      <c r="B141" s="39">
        <v>22.4439</v>
      </c>
      <c r="C141" s="40">
        <f t="shared" si="3"/>
        <v>-0.004024921676</v>
      </c>
      <c r="D141" s="42">
        <v>10835.3</v>
      </c>
      <c r="E141" s="40">
        <f t="shared" si="4"/>
        <v>-0.004117609213</v>
      </c>
      <c r="F141" s="43">
        <v>7.587</v>
      </c>
      <c r="G141" s="49">
        <f t="shared" si="1"/>
        <v>0.07587</v>
      </c>
      <c r="H141" s="50">
        <f t="shared" si="2"/>
        <v>0.0002003752412</v>
      </c>
      <c r="I141" s="51">
        <f t="shared" si="5"/>
        <v>0.0003814900662</v>
      </c>
      <c r="J141" s="52">
        <f t="shared" si="6"/>
        <v>-0.004406411742</v>
      </c>
      <c r="K141" s="40">
        <f t="shared" si="7"/>
        <v>-0.004499099279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7">
        <v>43523.0</v>
      </c>
      <c r="B142" s="39">
        <v>22.3856</v>
      </c>
      <c r="C142" s="40">
        <f t="shared" si="3"/>
        <v>-0.002597587763</v>
      </c>
      <c r="D142" s="42">
        <v>10806.65</v>
      </c>
      <c r="E142" s="40">
        <f t="shared" si="4"/>
        <v>-0.002644135372</v>
      </c>
      <c r="F142" s="43">
        <v>7.672</v>
      </c>
      <c r="G142" s="49">
        <f t="shared" si="1"/>
        <v>0.07672</v>
      </c>
      <c r="H142" s="50">
        <f t="shared" si="2"/>
        <v>0.0002025393657</v>
      </c>
      <c r="I142" s="51">
        <f t="shared" si="5"/>
        <v>0.01080035886</v>
      </c>
      <c r="J142" s="52">
        <f t="shared" si="6"/>
        <v>-0.01339794662</v>
      </c>
      <c r="K142" s="40">
        <f t="shared" si="7"/>
        <v>-0.01344449423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7">
        <v>43524.0</v>
      </c>
      <c r="B143" s="39">
        <v>22.3652</v>
      </c>
      <c r="C143" s="40">
        <f t="shared" si="3"/>
        <v>-0.0009113001215</v>
      </c>
      <c r="D143" s="42">
        <v>10792.5</v>
      </c>
      <c r="E143" s="40">
        <f t="shared" si="4"/>
        <v>-0.001309378947</v>
      </c>
      <c r="F143" s="43">
        <v>7.591</v>
      </c>
      <c r="G143" s="49">
        <f t="shared" si="1"/>
        <v>0.07591</v>
      </c>
      <c r="H143" s="50">
        <f t="shared" si="2"/>
        <v>0.0002004771206</v>
      </c>
      <c r="I143" s="51">
        <f t="shared" si="5"/>
        <v>-0.01018194722</v>
      </c>
      <c r="J143" s="52">
        <f t="shared" si="6"/>
        <v>0.009270647103</v>
      </c>
      <c r="K143" s="40">
        <f t="shared" si="7"/>
        <v>0.008872568277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7">
        <v>43525.0</v>
      </c>
      <c r="B144" s="39">
        <v>22.5099</v>
      </c>
      <c r="C144" s="40">
        <f t="shared" si="3"/>
        <v>0.006469872838</v>
      </c>
      <c r="D144" s="42">
        <v>10863.5</v>
      </c>
      <c r="E144" s="40">
        <f t="shared" si="4"/>
        <v>0.006578642576</v>
      </c>
      <c r="F144" s="43">
        <v>7.556</v>
      </c>
      <c r="G144" s="49">
        <f t="shared" si="1"/>
        <v>0.07556</v>
      </c>
      <c r="H144" s="50">
        <f t="shared" si="2"/>
        <v>0.0001995855479</v>
      </c>
      <c r="I144" s="51">
        <f t="shared" si="5"/>
        <v>-0.004447253981</v>
      </c>
      <c r="J144" s="52">
        <f t="shared" si="6"/>
        <v>0.01091712682</v>
      </c>
      <c r="K144" s="40">
        <f t="shared" si="7"/>
        <v>0.01102589656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7">
        <v>43529.0</v>
      </c>
      <c r="B145" s="39">
        <v>22.7621</v>
      </c>
      <c r="C145" s="40">
        <f t="shared" si="3"/>
        <v>0.01120395915</v>
      </c>
      <c r="D145" s="42">
        <v>10987.45</v>
      </c>
      <c r="E145" s="40">
        <f t="shared" si="4"/>
        <v>0.01140976665</v>
      </c>
      <c r="F145" s="43">
        <v>7.556</v>
      </c>
      <c r="G145" s="49">
        <f t="shared" si="1"/>
        <v>0.07556</v>
      </c>
      <c r="H145" s="50">
        <f t="shared" si="2"/>
        <v>0.0001995855479</v>
      </c>
      <c r="I145" s="51">
        <f t="shared" si="5"/>
        <v>0</v>
      </c>
      <c r="J145" s="52">
        <f t="shared" si="6"/>
        <v>0.01120395915</v>
      </c>
      <c r="K145" s="40">
        <f t="shared" si="7"/>
        <v>0.01140976665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7">
        <v>43530.0</v>
      </c>
      <c r="B146" s="39">
        <v>22.895</v>
      </c>
      <c r="C146" s="40">
        <f t="shared" si="3"/>
        <v>0.005838652848</v>
      </c>
      <c r="D146" s="42">
        <v>11053.0</v>
      </c>
      <c r="E146" s="40">
        <f t="shared" si="4"/>
        <v>0.005965897456</v>
      </c>
      <c r="F146" s="43">
        <v>7.572</v>
      </c>
      <c r="G146" s="49">
        <f t="shared" si="1"/>
        <v>0.07572</v>
      </c>
      <c r="H146" s="50">
        <f t="shared" si="2"/>
        <v>0.0001999931599</v>
      </c>
      <c r="I146" s="51">
        <f t="shared" si="5"/>
        <v>0.002042292033</v>
      </c>
      <c r="J146" s="52">
        <f t="shared" si="6"/>
        <v>0.003796360815</v>
      </c>
      <c r="K146" s="40">
        <f t="shared" si="7"/>
        <v>0.003923605423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7">
        <v>43531.0</v>
      </c>
      <c r="B147" s="39">
        <v>22.9057</v>
      </c>
      <c r="C147" s="40">
        <f t="shared" si="3"/>
        <v>0.00046735095</v>
      </c>
      <c r="D147" s="42">
        <v>11058.2</v>
      </c>
      <c r="E147" s="40">
        <f t="shared" si="4"/>
        <v>0.0004704605085</v>
      </c>
      <c r="F147" s="43">
        <v>7.58</v>
      </c>
      <c r="G147" s="49">
        <f t="shared" si="1"/>
        <v>0.0758</v>
      </c>
      <c r="H147" s="50">
        <f t="shared" si="2"/>
        <v>0.0002001969432</v>
      </c>
      <c r="I147" s="51">
        <f t="shared" si="5"/>
        <v>0.001018951423</v>
      </c>
      <c r="J147" s="52">
        <f t="shared" si="6"/>
        <v>-0.0005516004732</v>
      </c>
      <c r="K147" s="40">
        <f t="shared" si="7"/>
        <v>-0.0005484909148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7">
        <v>43532.0</v>
      </c>
      <c r="B148" s="39">
        <v>22.8594</v>
      </c>
      <c r="C148" s="40">
        <f t="shared" si="3"/>
        <v>-0.002021330935</v>
      </c>
      <c r="D148" s="42">
        <v>11035.4</v>
      </c>
      <c r="E148" s="40">
        <f t="shared" si="4"/>
        <v>-0.002061818379</v>
      </c>
      <c r="F148" s="43">
        <v>7.532</v>
      </c>
      <c r="G148" s="49">
        <f t="shared" si="1"/>
        <v>0.07532</v>
      </c>
      <c r="H148" s="50">
        <f t="shared" si="2"/>
        <v>0.0001989740165</v>
      </c>
      <c r="I148" s="51">
        <f t="shared" si="5"/>
        <v>-0.006108617977</v>
      </c>
      <c r="J148" s="52">
        <f t="shared" si="6"/>
        <v>0.004087287042</v>
      </c>
      <c r="K148" s="40">
        <f t="shared" si="7"/>
        <v>0.004046799598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7">
        <v>43535.0</v>
      </c>
      <c r="B149" s="39">
        <v>23.1286</v>
      </c>
      <c r="C149" s="40">
        <f t="shared" si="3"/>
        <v>0.01177633709</v>
      </c>
      <c r="D149" s="42">
        <v>11168.05</v>
      </c>
      <c r="E149" s="40">
        <f t="shared" si="4"/>
        <v>0.01202040705</v>
      </c>
      <c r="F149" s="43">
        <v>7.512</v>
      </c>
      <c r="G149" s="49">
        <f t="shared" si="1"/>
        <v>0.07512</v>
      </c>
      <c r="H149" s="50">
        <f t="shared" si="2"/>
        <v>0.0001984643031</v>
      </c>
      <c r="I149" s="51">
        <f t="shared" si="5"/>
        <v>-0.002561708597</v>
      </c>
      <c r="J149" s="52">
        <f t="shared" si="6"/>
        <v>0.01433804568</v>
      </c>
      <c r="K149" s="40">
        <f t="shared" si="7"/>
        <v>0.01458211565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7">
        <v>43536.0</v>
      </c>
      <c r="B150" s="39">
        <v>23.3986</v>
      </c>
      <c r="C150" s="40">
        <f t="shared" si="3"/>
        <v>0.01167385834</v>
      </c>
      <c r="D150" s="42">
        <v>11301.2</v>
      </c>
      <c r="E150" s="40">
        <f t="shared" si="4"/>
        <v>0.01192240364</v>
      </c>
      <c r="F150" s="43">
        <v>7.513</v>
      </c>
      <c r="G150" s="49">
        <f t="shared" si="1"/>
        <v>0.07513</v>
      </c>
      <c r="H150" s="50">
        <f t="shared" si="2"/>
        <v>0.000198489791</v>
      </c>
      <c r="I150" s="51">
        <f t="shared" si="5"/>
        <v>0.0001284257059</v>
      </c>
      <c r="J150" s="52">
        <f t="shared" si="6"/>
        <v>0.01154543263</v>
      </c>
      <c r="K150" s="40">
        <f t="shared" si="7"/>
        <v>0.01179397794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37">
        <v>43537.0</v>
      </c>
      <c r="B151" s="39">
        <v>23.4824</v>
      </c>
      <c r="C151" s="40">
        <f t="shared" si="3"/>
        <v>0.003581410854</v>
      </c>
      <c r="D151" s="42">
        <v>11341.7</v>
      </c>
      <c r="E151" s="40">
        <f t="shared" si="4"/>
        <v>0.003583690228</v>
      </c>
      <c r="F151" s="43">
        <v>7.548</v>
      </c>
      <c r="G151" s="49">
        <f t="shared" si="1"/>
        <v>0.07548</v>
      </c>
      <c r="H151" s="50">
        <f t="shared" si="2"/>
        <v>0.0001993817192</v>
      </c>
      <c r="I151" s="51">
        <f t="shared" si="5"/>
        <v>0.004493572284</v>
      </c>
      <c r="J151" s="52">
        <f t="shared" si="6"/>
        <v>-0.0009121614301</v>
      </c>
      <c r="K151" s="40">
        <f t="shared" si="7"/>
        <v>-0.0009098820561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7">
        <v>43538.0</v>
      </c>
      <c r="B152" s="39">
        <v>23.4912</v>
      </c>
      <c r="C152" s="40">
        <f t="shared" si="3"/>
        <v>0.000374748748</v>
      </c>
      <c r="D152" s="42">
        <v>11343.25</v>
      </c>
      <c r="E152" s="40">
        <f t="shared" si="4"/>
        <v>0.0001366638158</v>
      </c>
      <c r="F152" s="43">
        <v>7.553</v>
      </c>
      <c r="G152" s="49">
        <f t="shared" si="1"/>
        <v>0.07553</v>
      </c>
      <c r="H152" s="50">
        <f t="shared" si="2"/>
        <v>0.0001995091139</v>
      </c>
      <c r="I152" s="51">
        <f t="shared" si="5"/>
        <v>0.0006389486824</v>
      </c>
      <c r="J152" s="52">
        <f t="shared" si="6"/>
        <v>-0.0002641999344</v>
      </c>
      <c r="K152" s="40">
        <f t="shared" si="7"/>
        <v>-0.0005022848666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37">
        <v>43539.0</v>
      </c>
      <c r="B153" s="39">
        <v>23.6669</v>
      </c>
      <c r="C153" s="40">
        <f t="shared" si="3"/>
        <v>0.00747939654</v>
      </c>
      <c r="D153" s="42">
        <v>11426.85</v>
      </c>
      <c r="E153" s="40">
        <f t="shared" si="4"/>
        <v>0.007370021819</v>
      </c>
      <c r="F153" s="43">
        <v>7.502</v>
      </c>
      <c r="G153" s="49">
        <f t="shared" si="1"/>
        <v>0.07502</v>
      </c>
      <c r="H153" s="50">
        <f t="shared" si="2"/>
        <v>0.0001982094109</v>
      </c>
      <c r="I153" s="51">
        <f t="shared" si="5"/>
        <v>-0.006514504467</v>
      </c>
      <c r="J153" s="52">
        <f t="shared" si="6"/>
        <v>0.01399390101</v>
      </c>
      <c r="K153" s="40">
        <f t="shared" si="7"/>
        <v>0.01388452629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7">
        <v>43542.0</v>
      </c>
      <c r="B154" s="39">
        <v>23.7395</v>
      </c>
      <c r="C154" s="40">
        <f t="shared" si="3"/>
        <v>0.00306757539</v>
      </c>
      <c r="D154" s="42">
        <v>11462.2</v>
      </c>
      <c r="E154" s="40">
        <f t="shared" si="4"/>
        <v>0.003093590972</v>
      </c>
      <c r="F154" s="43">
        <v>7.48</v>
      </c>
      <c r="G154" s="49">
        <f t="shared" si="1"/>
        <v>0.0748</v>
      </c>
      <c r="H154" s="50">
        <f t="shared" si="2"/>
        <v>0.0001976485649</v>
      </c>
      <c r="I154" s="51">
        <f t="shared" si="5"/>
        <v>-0.002829563176</v>
      </c>
      <c r="J154" s="52">
        <f t="shared" si="6"/>
        <v>0.005897138566</v>
      </c>
      <c r="K154" s="40">
        <f t="shared" si="7"/>
        <v>0.005923154148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7">
        <v>43543.0</v>
      </c>
      <c r="B155" s="39">
        <v>23.8847</v>
      </c>
      <c r="C155" s="40">
        <f t="shared" si="3"/>
        <v>0.006116388298</v>
      </c>
      <c r="D155" s="42">
        <v>11532.4</v>
      </c>
      <c r="E155" s="40">
        <f t="shared" si="4"/>
        <v>0.006124478721</v>
      </c>
      <c r="F155" s="43">
        <v>7.536</v>
      </c>
      <c r="G155" s="49">
        <f t="shared" si="1"/>
        <v>0.07536</v>
      </c>
      <c r="H155" s="50">
        <f t="shared" si="2"/>
        <v>0.0001990759479</v>
      </c>
      <c r="I155" s="51">
        <f t="shared" si="5"/>
        <v>0.007221823391</v>
      </c>
      <c r="J155" s="52">
        <f t="shared" si="6"/>
        <v>-0.001105435093</v>
      </c>
      <c r="K155" s="40">
        <f t="shared" si="7"/>
        <v>-0.00109734467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7">
        <v>43544.0</v>
      </c>
      <c r="B156" s="39">
        <v>23.861</v>
      </c>
      <c r="C156" s="40">
        <f t="shared" si="3"/>
        <v>-0.0009922670161</v>
      </c>
      <c r="D156" s="42">
        <v>11521.05</v>
      </c>
      <c r="E156" s="40">
        <f t="shared" si="4"/>
        <v>-0.0009841836912</v>
      </c>
      <c r="F156" s="43">
        <v>7.517</v>
      </c>
      <c r="G156" s="49">
        <f t="shared" si="1"/>
        <v>0.07517</v>
      </c>
      <c r="H156" s="50">
        <f t="shared" si="2"/>
        <v>0.0001985917403</v>
      </c>
      <c r="I156" s="51">
        <f t="shared" si="5"/>
        <v>-0.00243227558</v>
      </c>
      <c r="J156" s="52">
        <f t="shared" si="6"/>
        <v>0.001440008564</v>
      </c>
      <c r="K156" s="40">
        <f t="shared" si="7"/>
        <v>0.001448091889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7">
        <v>43546.0</v>
      </c>
      <c r="B157" s="39">
        <v>23.732</v>
      </c>
      <c r="C157" s="40">
        <f t="shared" si="3"/>
        <v>-0.005406311554</v>
      </c>
      <c r="D157" s="42">
        <v>11456.9</v>
      </c>
      <c r="E157" s="40">
        <f t="shared" si="4"/>
        <v>-0.005568068883</v>
      </c>
      <c r="F157" s="43">
        <v>7.504</v>
      </c>
      <c r="G157" s="49">
        <f t="shared" si="1"/>
        <v>0.07504</v>
      </c>
      <c r="H157" s="50">
        <f t="shared" si="2"/>
        <v>0.0001982603912</v>
      </c>
      <c r="I157" s="51">
        <f t="shared" si="5"/>
        <v>-0.001668493779</v>
      </c>
      <c r="J157" s="52">
        <f t="shared" si="6"/>
        <v>-0.003737817775</v>
      </c>
      <c r="K157" s="40">
        <f t="shared" si="7"/>
        <v>-0.003899575104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7">
        <v>43549.0</v>
      </c>
      <c r="B158" s="39">
        <v>23.5183</v>
      </c>
      <c r="C158" s="40">
        <f t="shared" si="3"/>
        <v>-0.009004719366</v>
      </c>
      <c r="D158" s="42">
        <v>11354.25</v>
      </c>
      <c r="E158" s="40">
        <f t="shared" si="4"/>
        <v>-0.008959666227</v>
      </c>
      <c r="F158" s="43">
        <v>7.471</v>
      </c>
      <c r="G158" s="49">
        <f t="shared" si="1"/>
        <v>0.07471</v>
      </c>
      <c r="H158" s="50">
        <f t="shared" si="2"/>
        <v>0.0001974190948</v>
      </c>
      <c r="I158" s="51">
        <f t="shared" si="5"/>
        <v>-0.004243391188</v>
      </c>
      <c r="J158" s="52">
        <f t="shared" si="6"/>
        <v>-0.004761328178</v>
      </c>
      <c r="K158" s="40">
        <f t="shared" si="7"/>
        <v>-0.004716275039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37">
        <v>43550.0</v>
      </c>
      <c r="B159" s="39">
        <v>23.7812</v>
      </c>
      <c r="C159" s="40">
        <f t="shared" si="3"/>
        <v>0.01117852906</v>
      </c>
      <c r="D159" s="42">
        <v>11483.25</v>
      </c>
      <c r="E159" s="40">
        <f t="shared" si="4"/>
        <v>0.0113613845</v>
      </c>
      <c r="F159" s="43">
        <v>7.342</v>
      </c>
      <c r="G159" s="49">
        <f t="shared" si="1"/>
        <v>0.07342</v>
      </c>
      <c r="H159" s="50">
        <f t="shared" si="2"/>
        <v>0.000194127917</v>
      </c>
      <c r="I159" s="51">
        <f t="shared" si="5"/>
        <v>-0.01667102075</v>
      </c>
      <c r="J159" s="52">
        <f t="shared" si="6"/>
        <v>0.02784954981</v>
      </c>
      <c r="K159" s="40">
        <f t="shared" si="7"/>
        <v>0.02803240525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7">
        <v>43551.0</v>
      </c>
      <c r="B160" s="39">
        <v>23.7056</v>
      </c>
      <c r="C160" s="40">
        <f t="shared" si="3"/>
        <v>-0.003178981717</v>
      </c>
      <c r="D160" s="42">
        <v>11445.05</v>
      </c>
      <c r="E160" s="40">
        <f t="shared" si="4"/>
        <v>-0.003326584373</v>
      </c>
      <c r="F160" s="43">
        <v>7.327</v>
      </c>
      <c r="G160" s="49">
        <f t="shared" si="1"/>
        <v>0.07327</v>
      </c>
      <c r="H160" s="50">
        <f t="shared" si="2"/>
        <v>0.000193744966</v>
      </c>
      <c r="I160" s="51">
        <f t="shared" si="5"/>
        <v>-0.001972673817</v>
      </c>
      <c r="J160" s="52">
        <f t="shared" si="6"/>
        <v>-0.001206307899</v>
      </c>
      <c r="K160" s="40">
        <f t="shared" si="7"/>
        <v>-0.001353910556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37">
        <v>43552.0</v>
      </c>
      <c r="B161" s="39">
        <v>23.9606</v>
      </c>
      <c r="C161" s="40">
        <f t="shared" si="3"/>
        <v>0.01075695194</v>
      </c>
      <c r="D161" s="42">
        <v>11570.0</v>
      </c>
      <c r="E161" s="40">
        <f t="shared" si="4"/>
        <v>0.0109173835</v>
      </c>
      <c r="F161" s="43">
        <v>7.323</v>
      </c>
      <c r="G161" s="49">
        <f t="shared" si="1"/>
        <v>0.07323</v>
      </c>
      <c r="H161" s="50">
        <f t="shared" si="2"/>
        <v>0.0001936428367</v>
      </c>
      <c r="I161" s="51">
        <f t="shared" si="5"/>
        <v>-0.0005271326473</v>
      </c>
      <c r="J161" s="52">
        <f t="shared" si="6"/>
        <v>0.01128408459</v>
      </c>
      <c r="K161" s="40">
        <f t="shared" si="7"/>
        <v>0.01144451614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7">
        <v>43553.0</v>
      </c>
      <c r="B162" s="39">
        <v>24.0746</v>
      </c>
      <c r="C162" s="40">
        <f t="shared" si="3"/>
        <v>0.004757810739</v>
      </c>
      <c r="D162" s="42">
        <v>11623.9</v>
      </c>
      <c r="E162" s="40">
        <f t="shared" si="4"/>
        <v>0.004658599827</v>
      </c>
      <c r="F162" s="43">
        <v>7.346</v>
      </c>
      <c r="G162" s="49">
        <f t="shared" si="1"/>
        <v>0.07346</v>
      </c>
      <c r="H162" s="50">
        <f t="shared" si="2"/>
        <v>0.0001942300283</v>
      </c>
      <c r="I162" s="51">
        <f t="shared" si="5"/>
        <v>0.003032343646</v>
      </c>
      <c r="J162" s="52">
        <f t="shared" si="6"/>
        <v>0.001725467093</v>
      </c>
      <c r="K162" s="40">
        <f t="shared" si="7"/>
        <v>0.001626256181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7">
        <v>43557.0</v>
      </c>
      <c r="B163" s="39">
        <v>24.2582</v>
      </c>
      <c r="C163" s="40">
        <f t="shared" si="3"/>
        <v>0.007626294933</v>
      </c>
      <c r="D163" s="42">
        <v>11713.2</v>
      </c>
      <c r="E163" s="40">
        <f t="shared" si="4"/>
        <v>0.007682447371</v>
      </c>
      <c r="F163" s="43">
        <v>7.272</v>
      </c>
      <c r="G163" s="49">
        <f t="shared" si="1"/>
        <v>0.07272</v>
      </c>
      <c r="H163" s="50">
        <f t="shared" si="2"/>
        <v>0.0001923403553</v>
      </c>
      <c r="I163" s="51">
        <f t="shared" si="5"/>
        <v>-0.009729046653</v>
      </c>
      <c r="J163" s="52">
        <f t="shared" si="6"/>
        <v>0.01735534159</v>
      </c>
      <c r="K163" s="40">
        <f t="shared" si="7"/>
        <v>0.01741149402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7">
        <v>43558.0</v>
      </c>
      <c r="B164" s="39">
        <v>24.1161</v>
      </c>
      <c r="C164" s="40">
        <f t="shared" si="3"/>
        <v>-0.005857813028</v>
      </c>
      <c r="D164" s="42">
        <v>11643.95</v>
      </c>
      <c r="E164" s="40">
        <f t="shared" si="4"/>
        <v>-0.00591213332</v>
      </c>
      <c r="F164" s="43">
        <v>7.271</v>
      </c>
      <c r="G164" s="49">
        <f t="shared" si="1"/>
        <v>0.07271</v>
      </c>
      <c r="H164" s="50">
        <f t="shared" si="2"/>
        <v>0.0001923148103</v>
      </c>
      <c r="I164" s="51">
        <f t="shared" si="5"/>
        <v>-0.0001328115618</v>
      </c>
      <c r="J164" s="52">
        <f t="shared" si="6"/>
        <v>-0.005725001466</v>
      </c>
      <c r="K164" s="40">
        <f t="shared" si="7"/>
        <v>-0.005779321758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37">
        <v>43559.0</v>
      </c>
      <c r="B165" s="39">
        <v>24.022</v>
      </c>
      <c r="C165" s="40">
        <f t="shared" si="3"/>
        <v>-0.003901957613</v>
      </c>
      <c r="D165" s="42">
        <v>11598.0</v>
      </c>
      <c r="E165" s="40">
        <f t="shared" si="4"/>
        <v>-0.003946255351</v>
      </c>
      <c r="F165" s="43">
        <v>7.348</v>
      </c>
      <c r="G165" s="49">
        <f t="shared" si="1"/>
        <v>0.07348</v>
      </c>
      <c r="H165" s="50">
        <f t="shared" si="2"/>
        <v>0.0001942810825</v>
      </c>
      <c r="I165" s="51">
        <f t="shared" si="5"/>
        <v>0.01022423722</v>
      </c>
      <c r="J165" s="52">
        <f t="shared" si="6"/>
        <v>-0.01412619483</v>
      </c>
      <c r="K165" s="40">
        <f t="shared" si="7"/>
        <v>-0.01417049257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7">
        <v>43560.0</v>
      </c>
      <c r="B166" s="39">
        <v>24.1609</v>
      </c>
      <c r="C166" s="40">
        <f t="shared" si="3"/>
        <v>0.00578219965</v>
      </c>
      <c r="D166" s="42">
        <v>11665.95</v>
      </c>
      <c r="E166" s="40">
        <f t="shared" si="4"/>
        <v>0.005858768753</v>
      </c>
      <c r="F166" s="43">
        <v>7.353</v>
      </c>
      <c r="G166" s="49">
        <f t="shared" si="1"/>
        <v>0.07353</v>
      </c>
      <c r="H166" s="50">
        <f t="shared" si="2"/>
        <v>0.0001944087139</v>
      </c>
      <c r="I166" s="51">
        <f t="shared" si="5"/>
        <v>0.0006569418794</v>
      </c>
      <c r="J166" s="52">
        <f t="shared" si="6"/>
        <v>0.005125257771</v>
      </c>
      <c r="K166" s="40">
        <f t="shared" si="7"/>
        <v>0.005201826874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37">
        <v>43563.0</v>
      </c>
      <c r="B167" s="39">
        <v>24.035</v>
      </c>
      <c r="C167" s="40">
        <f t="shared" si="3"/>
        <v>-0.005210898601</v>
      </c>
      <c r="D167" s="42">
        <v>11604.5</v>
      </c>
      <c r="E167" s="40">
        <f t="shared" si="4"/>
        <v>-0.00526746643</v>
      </c>
      <c r="F167" s="43">
        <v>7.4</v>
      </c>
      <c r="G167" s="49">
        <f t="shared" si="1"/>
        <v>0.074</v>
      </c>
      <c r="H167" s="50">
        <f t="shared" si="2"/>
        <v>0.0001956081592</v>
      </c>
      <c r="I167" s="51">
        <f t="shared" si="5"/>
        <v>0.00616970945</v>
      </c>
      <c r="J167" s="52">
        <f t="shared" si="6"/>
        <v>-0.01138060805</v>
      </c>
      <c r="K167" s="40">
        <f t="shared" si="7"/>
        <v>-0.01143717588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7">
        <v>43564.0</v>
      </c>
      <c r="B168" s="39">
        <v>24.1743</v>
      </c>
      <c r="C168" s="40">
        <f t="shared" si="3"/>
        <v>0.005795714583</v>
      </c>
      <c r="D168" s="42">
        <v>11671.95</v>
      </c>
      <c r="E168" s="40">
        <f t="shared" si="4"/>
        <v>0.005812400362</v>
      </c>
      <c r="F168" s="43">
        <v>7.374</v>
      </c>
      <c r="G168" s="49">
        <f t="shared" si="1"/>
        <v>0.07374</v>
      </c>
      <c r="H168" s="50">
        <f t="shared" si="2"/>
        <v>0.0001949447009</v>
      </c>
      <c r="I168" s="51">
        <f t="shared" si="5"/>
        <v>-0.003391771673</v>
      </c>
      <c r="J168" s="52">
        <f t="shared" si="6"/>
        <v>0.009187486256</v>
      </c>
      <c r="K168" s="40">
        <f t="shared" si="7"/>
        <v>0.009204172035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7">
        <v>43565.0</v>
      </c>
      <c r="B169" s="39">
        <v>23.9937</v>
      </c>
      <c r="C169" s="40">
        <f t="shared" si="3"/>
        <v>-0.007470743724</v>
      </c>
      <c r="D169" s="42">
        <v>11584.3</v>
      </c>
      <c r="E169" s="40">
        <f t="shared" si="4"/>
        <v>-0.007509456432</v>
      </c>
      <c r="F169" s="43">
        <v>7.367</v>
      </c>
      <c r="G169" s="49">
        <f t="shared" si="1"/>
        <v>0.07367</v>
      </c>
      <c r="H169" s="50">
        <f t="shared" si="2"/>
        <v>0.0001947660502</v>
      </c>
      <c r="I169" s="51">
        <f t="shared" si="5"/>
        <v>-0.0009164175174</v>
      </c>
      <c r="J169" s="52">
        <f t="shared" si="6"/>
        <v>-0.006554326206</v>
      </c>
      <c r="K169" s="40">
        <f t="shared" si="7"/>
        <v>-0.006593038914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7">
        <v>43566.0</v>
      </c>
      <c r="B170" s="39">
        <v>24.0191</v>
      </c>
      <c r="C170" s="40">
        <f t="shared" si="3"/>
        <v>0.001058611219</v>
      </c>
      <c r="D170" s="42">
        <v>11596.7</v>
      </c>
      <c r="E170" s="40">
        <f t="shared" si="4"/>
        <v>0.001070414268</v>
      </c>
      <c r="F170" s="43">
        <v>7.371</v>
      </c>
      <c r="G170" s="49">
        <f t="shared" si="1"/>
        <v>0.07371</v>
      </c>
      <c r="H170" s="50">
        <f t="shared" si="2"/>
        <v>0.0001948681378</v>
      </c>
      <c r="I170" s="51">
        <f t="shared" si="5"/>
        <v>0.0005241547925</v>
      </c>
      <c r="J170" s="52">
        <f t="shared" si="6"/>
        <v>0.0005344564263</v>
      </c>
      <c r="K170" s="40">
        <f t="shared" si="7"/>
        <v>0.0005462594751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7">
        <v>43567.0</v>
      </c>
      <c r="B171" s="39">
        <v>24.1149</v>
      </c>
      <c r="C171" s="40">
        <f t="shared" si="3"/>
        <v>0.003988492491</v>
      </c>
      <c r="D171" s="42">
        <v>11643.45</v>
      </c>
      <c r="E171" s="40">
        <f t="shared" si="4"/>
        <v>0.004031319255</v>
      </c>
      <c r="F171" s="43">
        <v>7.409</v>
      </c>
      <c r="G171" s="49">
        <f t="shared" si="1"/>
        <v>0.07409</v>
      </c>
      <c r="H171" s="50">
        <f t="shared" si="2"/>
        <v>0.0001958377805</v>
      </c>
      <c r="I171" s="51">
        <f t="shared" si="5"/>
        <v>0.004975891385</v>
      </c>
      <c r="J171" s="52">
        <f t="shared" si="6"/>
        <v>-0.0009873988937</v>
      </c>
      <c r="K171" s="40">
        <f t="shared" si="7"/>
        <v>-0.0009445721305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7">
        <v>43570.0</v>
      </c>
      <c r="B172" s="39">
        <v>24.2107</v>
      </c>
      <c r="C172" s="40">
        <f t="shared" si="3"/>
        <v>0.003972647616</v>
      </c>
      <c r="D172" s="42">
        <v>11690.35</v>
      </c>
      <c r="E172" s="40">
        <f t="shared" si="4"/>
        <v>0.004028015751</v>
      </c>
      <c r="F172" s="43">
        <v>7.392</v>
      </c>
      <c r="G172" s="49">
        <f t="shared" si="1"/>
        <v>0.07392</v>
      </c>
      <c r="H172" s="50">
        <f t="shared" si="2"/>
        <v>0.0001954040352</v>
      </c>
      <c r="I172" s="51">
        <f t="shared" si="5"/>
        <v>-0.002214818921</v>
      </c>
      <c r="J172" s="52">
        <f t="shared" si="6"/>
        <v>0.006187466537</v>
      </c>
      <c r="K172" s="40">
        <f t="shared" si="7"/>
        <v>0.006242834672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7">
        <v>43571.0</v>
      </c>
      <c r="B173" s="39">
        <v>24.409</v>
      </c>
      <c r="C173" s="40">
        <f t="shared" si="3"/>
        <v>0.008190593415</v>
      </c>
      <c r="D173" s="42">
        <v>11787.15</v>
      </c>
      <c r="E173" s="40">
        <f t="shared" si="4"/>
        <v>0.00828033378</v>
      </c>
      <c r="F173" s="43">
        <v>7.39</v>
      </c>
      <c r="G173" s="49">
        <f t="shared" si="1"/>
        <v>0.0739</v>
      </c>
      <c r="H173" s="50">
        <f t="shared" si="2"/>
        <v>0.0001953530019</v>
      </c>
      <c r="I173" s="51">
        <f t="shared" si="5"/>
        <v>-0.0002611683595</v>
      </c>
      <c r="J173" s="52">
        <f t="shared" si="6"/>
        <v>0.008451761775</v>
      </c>
      <c r="K173" s="40">
        <f t="shared" si="7"/>
        <v>0.008541502139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7">
        <v>43573.0</v>
      </c>
      <c r="B174" s="39">
        <v>24.3383</v>
      </c>
      <c r="C174" s="40">
        <f t="shared" si="3"/>
        <v>-0.002896472613</v>
      </c>
      <c r="D174" s="42">
        <v>11752.8</v>
      </c>
      <c r="E174" s="40">
        <f t="shared" si="4"/>
        <v>-0.002914190453</v>
      </c>
      <c r="F174" s="43">
        <v>7.42</v>
      </c>
      <c r="G174" s="49">
        <f t="shared" si="1"/>
        <v>0.0742</v>
      </c>
      <c r="H174" s="50">
        <f t="shared" si="2"/>
        <v>0.0001961184026</v>
      </c>
      <c r="I174" s="51">
        <f t="shared" si="5"/>
        <v>0.003918039437</v>
      </c>
      <c r="J174" s="52">
        <f t="shared" si="6"/>
        <v>-0.006814512049</v>
      </c>
      <c r="K174" s="40">
        <f t="shared" si="7"/>
        <v>-0.00683222989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7">
        <v>43577.0</v>
      </c>
      <c r="B175" s="39">
        <v>24.0137</v>
      </c>
      <c r="C175" s="40">
        <f t="shared" si="3"/>
        <v>-0.01333700382</v>
      </c>
      <c r="D175" s="42">
        <v>11594.45</v>
      </c>
      <c r="E175" s="40">
        <f t="shared" si="4"/>
        <v>-0.01347338507</v>
      </c>
      <c r="F175" s="43">
        <v>7.474</v>
      </c>
      <c r="G175" s="49">
        <f t="shared" si="1"/>
        <v>0.07474</v>
      </c>
      <c r="H175" s="50">
        <f t="shared" si="2"/>
        <v>0.000197495587</v>
      </c>
      <c r="I175" s="51">
        <f t="shared" si="5"/>
        <v>0.007022208607</v>
      </c>
      <c r="J175" s="52">
        <f t="shared" si="6"/>
        <v>-0.02035921242</v>
      </c>
      <c r="K175" s="40">
        <f t="shared" si="7"/>
        <v>-0.02049559367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7">
        <v>43578.0</v>
      </c>
      <c r="B176" s="39">
        <v>23.9753</v>
      </c>
      <c r="C176" s="40">
        <f t="shared" si="3"/>
        <v>-0.001599087188</v>
      </c>
      <c r="D176" s="42">
        <v>11575.95</v>
      </c>
      <c r="E176" s="40">
        <f t="shared" si="4"/>
        <v>-0.001595590994</v>
      </c>
      <c r="F176" s="43">
        <v>7.473</v>
      </c>
      <c r="G176" s="49">
        <f t="shared" si="1"/>
        <v>0.07473</v>
      </c>
      <c r="H176" s="50">
        <f t="shared" si="2"/>
        <v>0.0001974700898</v>
      </c>
      <c r="I176" s="51">
        <f t="shared" si="5"/>
        <v>-0.0001291023365</v>
      </c>
      <c r="J176" s="52">
        <f t="shared" si="6"/>
        <v>-0.001469984851</v>
      </c>
      <c r="K176" s="40">
        <f t="shared" si="7"/>
        <v>-0.001466488657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7">
        <v>43579.0</v>
      </c>
      <c r="B177" s="39">
        <v>24.2843</v>
      </c>
      <c r="C177" s="40">
        <f t="shared" si="3"/>
        <v>0.01288826417</v>
      </c>
      <c r="D177" s="42">
        <v>11726.15</v>
      </c>
      <c r="E177" s="40">
        <f t="shared" si="4"/>
        <v>0.01297517698</v>
      </c>
      <c r="F177" s="43">
        <v>7.424</v>
      </c>
      <c r="G177" s="49">
        <f t="shared" si="1"/>
        <v>0.07424</v>
      </c>
      <c r="H177" s="50">
        <f t="shared" si="2"/>
        <v>0.00019622044</v>
      </c>
      <c r="I177" s="51">
        <f t="shared" si="5"/>
        <v>-0.006328299469</v>
      </c>
      <c r="J177" s="52">
        <f t="shared" si="6"/>
        <v>0.01921656364</v>
      </c>
      <c r="K177" s="40">
        <f t="shared" si="7"/>
        <v>0.01930347645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7">
        <v>43580.0</v>
      </c>
      <c r="B178" s="39">
        <v>24.1115</v>
      </c>
      <c r="C178" s="40">
        <f t="shared" si="3"/>
        <v>-0.007115708503</v>
      </c>
      <c r="D178" s="42">
        <v>11641.8</v>
      </c>
      <c r="E178" s="40">
        <f t="shared" si="4"/>
        <v>-0.007193324322</v>
      </c>
      <c r="F178" s="43">
        <v>7.451</v>
      </c>
      <c r="G178" s="49">
        <f t="shared" si="1"/>
        <v>0.07451</v>
      </c>
      <c r="H178" s="50">
        <f t="shared" si="2"/>
        <v>0.0001969090928</v>
      </c>
      <c r="I178" s="51">
        <f t="shared" si="5"/>
        <v>0.003509587878</v>
      </c>
      <c r="J178" s="52">
        <f t="shared" si="6"/>
        <v>-0.01062529638</v>
      </c>
      <c r="K178" s="40">
        <f t="shared" si="7"/>
        <v>-0.0107029122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7">
        <v>43581.0</v>
      </c>
      <c r="B179" s="39">
        <v>24.3416</v>
      </c>
      <c r="C179" s="40">
        <f t="shared" si="3"/>
        <v>0.00954316405</v>
      </c>
      <c r="D179" s="42">
        <v>11754.65</v>
      </c>
      <c r="E179" s="40">
        <f t="shared" si="4"/>
        <v>0.009693518184</v>
      </c>
      <c r="F179" s="43">
        <v>7.408</v>
      </c>
      <c r="G179" s="49">
        <f t="shared" si="1"/>
        <v>0.07408</v>
      </c>
      <c r="H179" s="50">
        <f t="shared" si="2"/>
        <v>0.0001958122679</v>
      </c>
      <c r="I179" s="51">
        <f t="shared" si="5"/>
        <v>-0.005570209646</v>
      </c>
      <c r="J179" s="52">
        <f t="shared" si="6"/>
        <v>0.0151133737</v>
      </c>
      <c r="K179" s="40">
        <f t="shared" si="7"/>
        <v>0.01526372783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7">
        <v>43585.0</v>
      </c>
      <c r="B180" s="39">
        <v>24.3289</v>
      </c>
      <c r="C180" s="40">
        <f t="shared" si="3"/>
        <v>-0.0005217405594</v>
      </c>
      <c r="D180" s="42">
        <v>11748.15</v>
      </c>
      <c r="E180" s="40">
        <f t="shared" si="4"/>
        <v>-0.0005529726534</v>
      </c>
      <c r="F180" s="43">
        <v>7.414</v>
      </c>
      <c r="G180" s="49">
        <f t="shared" si="1"/>
        <v>0.07414</v>
      </c>
      <c r="H180" s="50">
        <f t="shared" si="2"/>
        <v>0.0001959653395</v>
      </c>
      <c r="I180" s="51">
        <f t="shared" si="5"/>
        <v>0.0007817264266</v>
      </c>
      <c r="J180" s="52">
        <f t="shared" si="6"/>
        <v>-0.001303466986</v>
      </c>
      <c r="K180" s="40">
        <f t="shared" si="7"/>
        <v>-0.00133469908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7">
        <v>43587.0</v>
      </c>
      <c r="B181" s="39">
        <v>24.2813</v>
      </c>
      <c r="C181" s="40">
        <f t="shared" si="3"/>
        <v>-0.001956520846</v>
      </c>
      <c r="D181" s="42">
        <v>11724.75</v>
      </c>
      <c r="E181" s="40">
        <f t="shared" si="4"/>
        <v>-0.001991802965</v>
      </c>
      <c r="F181" s="43">
        <v>7.386</v>
      </c>
      <c r="G181" s="49">
        <f t="shared" si="1"/>
        <v>0.07386</v>
      </c>
      <c r="H181" s="50">
        <f t="shared" si="2"/>
        <v>0.0001952509323</v>
      </c>
      <c r="I181" s="51">
        <f t="shared" si="5"/>
        <v>-0.003645579444</v>
      </c>
      <c r="J181" s="52">
        <f t="shared" si="6"/>
        <v>0.001689058599</v>
      </c>
      <c r="K181" s="40">
        <f t="shared" si="7"/>
        <v>0.001653776479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7">
        <v>43588.0</v>
      </c>
      <c r="B182" s="39">
        <v>24.2556</v>
      </c>
      <c r="C182" s="40">
        <f t="shared" si="3"/>
        <v>-0.001058427679</v>
      </c>
      <c r="D182" s="42">
        <v>11712.25</v>
      </c>
      <c r="E182" s="40">
        <f t="shared" si="4"/>
        <v>-0.001066120813</v>
      </c>
      <c r="F182" s="43">
        <v>7.397</v>
      </c>
      <c r="G182" s="49">
        <f t="shared" si="1"/>
        <v>0.07397</v>
      </c>
      <c r="H182" s="50">
        <f t="shared" si="2"/>
        <v>0.0001955316145</v>
      </c>
      <c r="I182" s="51">
        <f t="shared" si="5"/>
        <v>0.001437545651</v>
      </c>
      <c r="J182" s="52">
        <f t="shared" si="6"/>
        <v>-0.00249597333</v>
      </c>
      <c r="K182" s="40">
        <f t="shared" si="7"/>
        <v>-0.002503666464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7">
        <v>43591.0</v>
      </c>
      <c r="B183" s="39">
        <v>24.0208</v>
      </c>
      <c r="C183" s="40">
        <f t="shared" si="3"/>
        <v>-0.00968023879</v>
      </c>
      <c r="D183" s="42">
        <v>11598.25</v>
      </c>
      <c r="E183" s="40">
        <f t="shared" si="4"/>
        <v>-0.009733398792</v>
      </c>
      <c r="F183" s="43">
        <v>7.394</v>
      </c>
      <c r="G183" s="49">
        <f t="shared" si="1"/>
        <v>0.07394</v>
      </c>
      <c r="H183" s="50">
        <f t="shared" si="2"/>
        <v>0.0001954550676</v>
      </c>
      <c r="I183" s="51">
        <f t="shared" si="5"/>
        <v>-0.0003914805705</v>
      </c>
      <c r="J183" s="52">
        <f t="shared" si="6"/>
        <v>-0.00928875822</v>
      </c>
      <c r="K183" s="40">
        <f t="shared" si="7"/>
        <v>-0.009341918221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7">
        <v>43592.0</v>
      </c>
      <c r="B184" s="39">
        <v>23.818</v>
      </c>
      <c r="C184" s="40">
        <f t="shared" si="3"/>
        <v>-0.008442683008</v>
      </c>
      <c r="D184" s="42">
        <v>11497.9</v>
      </c>
      <c r="E184" s="40">
        <f t="shared" si="4"/>
        <v>-0.008652167353</v>
      </c>
      <c r="F184" s="43">
        <v>7.382</v>
      </c>
      <c r="G184" s="49">
        <f t="shared" si="1"/>
        <v>0.07382</v>
      </c>
      <c r="H184" s="50">
        <f t="shared" si="2"/>
        <v>0.000195148859</v>
      </c>
      <c r="I184" s="51">
        <f t="shared" si="5"/>
        <v>-0.001566644662</v>
      </c>
      <c r="J184" s="52">
        <f t="shared" si="6"/>
        <v>-0.006876038346</v>
      </c>
      <c r="K184" s="40">
        <f t="shared" si="7"/>
        <v>-0.00708552269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7">
        <v>43593.0</v>
      </c>
      <c r="B185" s="39">
        <v>23.5347</v>
      </c>
      <c r="C185" s="40">
        <f t="shared" si="3"/>
        <v>-0.01189436561</v>
      </c>
      <c r="D185" s="42">
        <v>11359.45</v>
      </c>
      <c r="E185" s="40">
        <f t="shared" si="4"/>
        <v>-0.01204132929</v>
      </c>
      <c r="F185" s="43">
        <v>7.375</v>
      </c>
      <c r="G185" s="49">
        <f t="shared" si="1"/>
        <v>0.07375</v>
      </c>
      <c r="H185" s="50">
        <f t="shared" si="2"/>
        <v>0.0001949702215</v>
      </c>
      <c r="I185" s="51">
        <f t="shared" si="5"/>
        <v>-0.0009153907749</v>
      </c>
      <c r="J185" s="52">
        <f t="shared" si="6"/>
        <v>-0.01097897483</v>
      </c>
      <c r="K185" s="40">
        <f t="shared" si="7"/>
        <v>-0.01112593851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7">
        <v>43594.0</v>
      </c>
      <c r="B186" s="39">
        <v>23.4141</v>
      </c>
      <c r="C186" s="40">
        <f t="shared" si="3"/>
        <v>-0.005124348303</v>
      </c>
      <c r="D186" s="42">
        <v>11301.8</v>
      </c>
      <c r="E186" s="40">
        <f t="shared" si="4"/>
        <v>-0.005075069656</v>
      </c>
      <c r="F186" s="43">
        <v>7.397</v>
      </c>
      <c r="G186" s="49">
        <f t="shared" si="1"/>
        <v>0.07397</v>
      </c>
      <c r="H186" s="50">
        <f t="shared" si="2"/>
        <v>0.0001955316145</v>
      </c>
      <c r="I186" s="51">
        <f t="shared" si="5"/>
        <v>0.002879377821</v>
      </c>
      <c r="J186" s="52">
        <f t="shared" si="6"/>
        <v>-0.008003726124</v>
      </c>
      <c r="K186" s="40">
        <f t="shared" si="7"/>
        <v>-0.007954447477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7">
        <v>43595.0</v>
      </c>
      <c r="B187" s="39">
        <v>23.3676</v>
      </c>
      <c r="C187" s="40">
        <f t="shared" si="3"/>
        <v>-0.001985982805</v>
      </c>
      <c r="D187" s="42">
        <v>11278.9</v>
      </c>
      <c r="E187" s="40">
        <f t="shared" si="4"/>
        <v>-0.002026225911</v>
      </c>
      <c r="F187" s="43">
        <v>7.413</v>
      </c>
      <c r="G187" s="49">
        <f t="shared" si="1"/>
        <v>0.07413</v>
      </c>
      <c r="H187" s="50">
        <f t="shared" si="2"/>
        <v>0.0001959398282</v>
      </c>
      <c r="I187" s="51">
        <f t="shared" si="5"/>
        <v>0.002087712214</v>
      </c>
      <c r="J187" s="52">
        <f t="shared" si="6"/>
        <v>-0.004073695019</v>
      </c>
      <c r="K187" s="40">
        <f t="shared" si="7"/>
        <v>-0.004113938125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7">
        <v>43598.0</v>
      </c>
      <c r="B188" s="39">
        <v>23.0974</v>
      </c>
      <c r="C188" s="40">
        <f t="shared" si="3"/>
        <v>-0.01156301888</v>
      </c>
      <c r="D188" s="42">
        <v>11148.2</v>
      </c>
      <c r="E188" s="40">
        <f t="shared" si="4"/>
        <v>-0.01158800947</v>
      </c>
      <c r="F188" s="43">
        <v>7.388</v>
      </c>
      <c r="G188" s="49">
        <f t="shared" si="1"/>
        <v>0.07388</v>
      </c>
      <c r="H188" s="50">
        <f t="shared" si="2"/>
        <v>0.0001953019676</v>
      </c>
      <c r="I188" s="51">
        <f t="shared" si="5"/>
        <v>-0.003255390327</v>
      </c>
      <c r="J188" s="52">
        <f t="shared" si="6"/>
        <v>-0.008307628554</v>
      </c>
      <c r="K188" s="40">
        <f t="shared" si="7"/>
        <v>-0.008332619142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7">
        <v>43599.0</v>
      </c>
      <c r="B189" s="39">
        <v>23.2515</v>
      </c>
      <c r="C189" s="40">
        <f t="shared" si="3"/>
        <v>0.006671746604</v>
      </c>
      <c r="D189" s="42">
        <v>11222.05</v>
      </c>
      <c r="E189" s="40">
        <f t="shared" si="4"/>
        <v>0.006624387794</v>
      </c>
      <c r="F189" s="43">
        <v>7.378</v>
      </c>
      <c r="G189" s="49">
        <f t="shared" si="1"/>
        <v>0.07378</v>
      </c>
      <c r="H189" s="50">
        <f t="shared" si="2"/>
        <v>0.0001950467819</v>
      </c>
      <c r="I189" s="51">
        <f t="shared" si="5"/>
        <v>-0.001306621317</v>
      </c>
      <c r="J189" s="52">
        <f t="shared" si="6"/>
        <v>0.007978367921</v>
      </c>
      <c r="K189" s="40">
        <f t="shared" si="7"/>
        <v>0.007931009111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7">
        <v>43600.0</v>
      </c>
      <c r="B190" s="39">
        <v>23.1147</v>
      </c>
      <c r="C190" s="40">
        <f t="shared" si="3"/>
        <v>-0.005883491388</v>
      </c>
      <c r="D190" s="42">
        <v>11157.0</v>
      </c>
      <c r="E190" s="40">
        <f t="shared" si="4"/>
        <v>-0.005796623612</v>
      </c>
      <c r="F190" s="43">
        <v>7.379</v>
      </c>
      <c r="G190" s="49">
        <f t="shared" si="1"/>
        <v>0.07379</v>
      </c>
      <c r="H190" s="50">
        <f t="shared" si="2"/>
        <v>0.0001950723015</v>
      </c>
      <c r="I190" s="51">
        <f t="shared" si="5"/>
        <v>0.000130838548</v>
      </c>
      <c r="J190" s="52">
        <f t="shared" si="6"/>
        <v>-0.006014329936</v>
      </c>
      <c r="K190" s="40">
        <f t="shared" si="7"/>
        <v>-0.00592746216</v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7">
        <v>43601.0</v>
      </c>
      <c r="B191" s="39">
        <v>23.3193</v>
      </c>
      <c r="C191" s="40">
        <f t="shared" si="3"/>
        <v>0.008851510078</v>
      </c>
      <c r="D191" s="42">
        <v>11257.1</v>
      </c>
      <c r="E191" s="40">
        <f t="shared" si="4"/>
        <v>0.008971945864</v>
      </c>
      <c r="F191" s="43">
        <v>7.377</v>
      </c>
      <c r="G191" s="49">
        <f t="shared" si="1"/>
        <v>0.07377</v>
      </c>
      <c r="H191" s="50">
        <f t="shared" si="2"/>
        <v>0.000195021262</v>
      </c>
      <c r="I191" s="51">
        <f t="shared" si="5"/>
        <v>-0.0002616440788</v>
      </c>
      <c r="J191" s="52">
        <f t="shared" si="6"/>
        <v>0.009113154157</v>
      </c>
      <c r="K191" s="40">
        <f t="shared" si="7"/>
        <v>0.009233589942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7">
        <v>43602.0</v>
      </c>
      <c r="B192" s="39">
        <v>23.6245</v>
      </c>
      <c r="C192" s="40">
        <f t="shared" si="3"/>
        <v>0.01308787142</v>
      </c>
      <c r="D192" s="42">
        <v>11407.15</v>
      </c>
      <c r="E192" s="40">
        <f t="shared" si="4"/>
        <v>0.01332936547</v>
      </c>
      <c r="F192" s="43">
        <v>7.362</v>
      </c>
      <c r="G192" s="49">
        <f t="shared" si="1"/>
        <v>0.07362</v>
      </c>
      <c r="H192" s="50">
        <f t="shared" si="2"/>
        <v>0.0001946384354</v>
      </c>
      <c r="I192" s="51">
        <f t="shared" si="5"/>
        <v>-0.001962999132</v>
      </c>
      <c r="J192" s="52">
        <f t="shared" si="6"/>
        <v>0.01505087055</v>
      </c>
      <c r="K192" s="40">
        <f t="shared" si="7"/>
        <v>0.0152923646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7">
        <v>43605.0</v>
      </c>
      <c r="B193" s="39">
        <v>24.4846</v>
      </c>
      <c r="C193" s="40">
        <f t="shared" si="3"/>
        <v>0.03640711973</v>
      </c>
      <c r="D193" s="42">
        <v>11828.25</v>
      </c>
      <c r="E193" s="40">
        <f t="shared" si="4"/>
        <v>0.03691544338</v>
      </c>
      <c r="F193" s="43">
        <v>7.286</v>
      </c>
      <c r="G193" s="49">
        <f t="shared" si="1"/>
        <v>0.07286</v>
      </c>
      <c r="H193" s="50">
        <f t="shared" si="2"/>
        <v>0.0001926979607</v>
      </c>
      <c r="I193" s="51">
        <f t="shared" si="5"/>
        <v>-0.009969638048</v>
      </c>
      <c r="J193" s="52">
        <f t="shared" si="6"/>
        <v>0.04637675778</v>
      </c>
      <c r="K193" s="40">
        <f t="shared" si="7"/>
        <v>0.04688508143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7">
        <v>43606.0</v>
      </c>
      <c r="B194" s="39">
        <v>24.2341</v>
      </c>
      <c r="C194" s="40">
        <f t="shared" si="3"/>
        <v>-0.01023092066</v>
      </c>
      <c r="D194" s="42">
        <v>11709.1</v>
      </c>
      <c r="E194" s="40">
        <f t="shared" si="4"/>
        <v>-0.01007334136</v>
      </c>
      <c r="F194" s="43">
        <v>7.303</v>
      </c>
      <c r="G194" s="49">
        <f t="shared" si="1"/>
        <v>0.07303</v>
      </c>
      <c r="H194" s="50">
        <f t="shared" si="2"/>
        <v>0.0001931321332</v>
      </c>
      <c r="I194" s="51">
        <f t="shared" si="5"/>
        <v>0.002253124826</v>
      </c>
      <c r="J194" s="52">
        <f t="shared" si="6"/>
        <v>-0.01248404549</v>
      </c>
      <c r="K194" s="40">
        <f t="shared" si="7"/>
        <v>-0.01232646619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7">
        <v>43607.0</v>
      </c>
      <c r="B195" s="39">
        <v>24.3196</v>
      </c>
      <c r="C195" s="40">
        <f t="shared" si="3"/>
        <v>0.003528086457</v>
      </c>
      <c r="D195" s="42">
        <v>11737.9</v>
      </c>
      <c r="E195" s="40">
        <f t="shared" si="4"/>
        <v>0.00245962542</v>
      </c>
      <c r="F195" s="43">
        <v>7.26</v>
      </c>
      <c r="G195" s="49">
        <f t="shared" si="1"/>
        <v>0.0726</v>
      </c>
      <c r="H195" s="50">
        <f t="shared" si="2"/>
        <v>0.0001920337993</v>
      </c>
      <c r="I195" s="51">
        <f t="shared" si="5"/>
        <v>-0.005686955788</v>
      </c>
      <c r="J195" s="52">
        <f t="shared" si="6"/>
        <v>0.009215042245</v>
      </c>
      <c r="K195" s="40">
        <f t="shared" si="7"/>
        <v>0.008146581208</v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7">
        <v>43608.0</v>
      </c>
      <c r="B196" s="39">
        <v>24.157</v>
      </c>
      <c r="C196" s="40">
        <f t="shared" si="3"/>
        <v>-0.00668596523</v>
      </c>
      <c r="D196" s="42">
        <v>11657.05</v>
      </c>
      <c r="E196" s="40">
        <f t="shared" si="4"/>
        <v>-0.006887944181</v>
      </c>
      <c r="F196" s="43">
        <v>7.239</v>
      </c>
      <c r="G196" s="49">
        <f t="shared" si="1"/>
        <v>0.07239</v>
      </c>
      <c r="H196" s="50">
        <f t="shared" si="2"/>
        <v>0.0001914972441</v>
      </c>
      <c r="I196" s="51">
        <f t="shared" si="5"/>
        <v>-0.002794066612</v>
      </c>
      <c r="J196" s="52">
        <f t="shared" si="6"/>
        <v>-0.003891898617</v>
      </c>
      <c r="K196" s="40">
        <f t="shared" si="7"/>
        <v>-0.004093877568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7">
        <v>43609.0</v>
      </c>
      <c r="B197" s="39">
        <v>24.5423</v>
      </c>
      <c r="C197" s="40">
        <f t="shared" si="3"/>
        <v>0.01594982821</v>
      </c>
      <c r="D197" s="42">
        <v>11844.1</v>
      </c>
      <c r="E197" s="40">
        <f t="shared" si="4"/>
        <v>0.0160460837</v>
      </c>
      <c r="F197" s="43">
        <v>7.226</v>
      </c>
      <c r="G197" s="49">
        <f t="shared" si="1"/>
        <v>0.07226</v>
      </c>
      <c r="H197" s="50">
        <f t="shared" si="2"/>
        <v>0.0001911650384</v>
      </c>
      <c r="I197" s="51">
        <f t="shared" si="5"/>
        <v>-0.001734780833</v>
      </c>
      <c r="J197" s="52">
        <f t="shared" si="6"/>
        <v>0.01768460904</v>
      </c>
      <c r="K197" s="40">
        <f t="shared" si="7"/>
        <v>0.01778086453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7">
        <v>43612.0</v>
      </c>
      <c r="B198" s="39">
        <v>24.7093</v>
      </c>
      <c r="C198" s="40">
        <f t="shared" si="3"/>
        <v>0.006804578218</v>
      </c>
      <c r="D198" s="42">
        <v>11924.75</v>
      </c>
      <c r="E198" s="40">
        <f t="shared" si="4"/>
        <v>0.006809297456</v>
      </c>
      <c r="F198" s="43">
        <v>7.167</v>
      </c>
      <c r="G198" s="49">
        <f t="shared" si="1"/>
        <v>0.07167</v>
      </c>
      <c r="H198" s="50">
        <f t="shared" si="2"/>
        <v>0.0001896568304</v>
      </c>
      <c r="I198" s="51">
        <f t="shared" si="5"/>
        <v>-0.00788955977</v>
      </c>
      <c r="J198" s="52">
        <f t="shared" si="6"/>
        <v>0.01469413799</v>
      </c>
      <c r="K198" s="40">
        <f t="shared" si="7"/>
        <v>0.01469885723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7">
        <v>43613.0</v>
      </c>
      <c r="B199" s="39">
        <v>24.7187</v>
      </c>
      <c r="C199" s="40">
        <f t="shared" si="3"/>
        <v>0.0003804235652</v>
      </c>
      <c r="D199" s="42">
        <v>11928.75</v>
      </c>
      <c r="E199" s="40">
        <f t="shared" si="4"/>
        <v>0.0003354368016</v>
      </c>
      <c r="F199" s="43">
        <v>7.149</v>
      </c>
      <c r="G199" s="49">
        <f t="shared" si="1"/>
        <v>0.07149</v>
      </c>
      <c r="H199" s="50">
        <f t="shared" si="2"/>
        <v>0.0001891965342</v>
      </c>
      <c r="I199" s="51">
        <f t="shared" si="5"/>
        <v>-0.002426994618</v>
      </c>
      <c r="J199" s="52">
        <f t="shared" si="6"/>
        <v>0.002807418183</v>
      </c>
      <c r="K199" s="40">
        <f t="shared" si="7"/>
        <v>0.00276243142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7">
        <v>43614.0</v>
      </c>
      <c r="B200" s="39">
        <v>24.5781</v>
      </c>
      <c r="C200" s="40">
        <f t="shared" si="3"/>
        <v>-0.005688001392</v>
      </c>
      <c r="D200" s="42">
        <v>11861.1</v>
      </c>
      <c r="E200" s="40">
        <f t="shared" si="4"/>
        <v>-0.005671172587</v>
      </c>
      <c r="F200" s="43">
        <v>7.125</v>
      </c>
      <c r="G200" s="49">
        <f t="shared" si="1"/>
        <v>0.07125</v>
      </c>
      <c r="H200" s="50">
        <f t="shared" si="2"/>
        <v>0.0001885826861</v>
      </c>
      <c r="I200" s="51">
        <f t="shared" si="5"/>
        <v>-0.003244499766</v>
      </c>
      <c r="J200" s="52">
        <f t="shared" si="6"/>
        <v>-0.002443501626</v>
      </c>
      <c r="K200" s="40">
        <f t="shared" si="7"/>
        <v>-0.002426672822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7">
        <v>43615.0</v>
      </c>
      <c r="B201" s="39">
        <v>24.7534</v>
      </c>
      <c r="C201" s="40">
        <f t="shared" si="3"/>
        <v>0.007132365805</v>
      </c>
      <c r="D201" s="42">
        <v>11945.9</v>
      </c>
      <c r="E201" s="40">
        <f t="shared" si="4"/>
        <v>0.007149421217</v>
      </c>
      <c r="F201" s="43">
        <v>7.133</v>
      </c>
      <c r="G201" s="49">
        <f t="shared" si="1"/>
        <v>0.07133</v>
      </c>
      <c r="H201" s="50">
        <f t="shared" si="2"/>
        <v>0.0001887873174</v>
      </c>
      <c r="I201" s="51">
        <f t="shared" si="5"/>
        <v>0.001085101069</v>
      </c>
      <c r="J201" s="52">
        <f t="shared" si="6"/>
        <v>0.006047264736</v>
      </c>
      <c r="K201" s="40">
        <f t="shared" si="7"/>
        <v>0.006064320148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7">
        <v>43616.0</v>
      </c>
      <c r="B202" s="39">
        <v>24.7046</v>
      </c>
      <c r="C202" s="40">
        <f t="shared" si="3"/>
        <v>-0.001971446347</v>
      </c>
      <c r="D202" s="42">
        <v>11922.8</v>
      </c>
      <c r="E202" s="40">
        <f t="shared" si="4"/>
        <v>-0.001933717845</v>
      </c>
      <c r="F202" s="43">
        <v>7.032</v>
      </c>
      <c r="G202" s="49">
        <f t="shared" si="1"/>
        <v>0.07032</v>
      </c>
      <c r="H202" s="50">
        <f t="shared" si="2"/>
        <v>0.0001862027286</v>
      </c>
      <c r="I202" s="51">
        <f t="shared" si="5"/>
        <v>-0.01369047904</v>
      </c>
      <c r="J202" s="52">
        <f t="shared" si="6"/>
        <v>0.01171903269</v>
      </c>
      <c r="K202" s="40">
        <f t="shared" si="7"/>
        <v>0.0117567612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7">
        <v>43619.0</v>
      </c>
      <c r="B203" s="39">
        <v>25.0493</v>
      </c>
      <c r="C203" s="40">
        <f t="shared" si="3"/>
        <v>0.01395286708</v>
      </c>
      <c r="D203" s="42">
        <v>12088.55</v>
      </c>
      <c r="E203" s="40">
        <f t="shared" si="4"/>
        <v>0.01390193579</v>
      </c>
      <c r="F203" s="43">
        <v>6.982</v>
      </c>
      <c r="G203" s="49">
        <f t="shared" si="1"/>
        <v>0.06982</v>
      </c>
      <c r="H203" s="50">
        <f t="shared" si="2"/>
        <v>0.000184922329</v>
      </c>
      <c r="I203" s="51">
        <f t="shared" si="5"/>
        <v>-0.006876374162</v>
      </c>
      <c r="J203" s="52">
        <f t="shared" si="6"/>
        <v>0.02082924124</v>
      </c>
      <c r="K203" s="40">
        <f t="shared" si="7"/>
        <v>0.02077830995</v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7">
        <v>43620.0</v>
      </c>
      <c r="B204" s="39">
        <v>24.9213</v>
      </c>
      <c r="C204" s="40">
        <f t="shared" si="3"/>
        <v>-0.005109923231</v>
      </c>
      <c r="D204" s="42">
        <v>12021.65</v>
      </c>
      <c r="E204" s="40">
        <f t="shared" si="4"/>
        <v>-0.005534162493</v>
      </c>
      <c r="F204" s="43">
        <v>7.022</v>
      </c>
      <c r="G204" s="49">
        <f t="shared" si="1"/>
        <v>0.07022</v>
      </c>
      <c r="H204" s="50">
        <f t="shared" si="2"/>
        <v>0.0001859466964</v>
      </c>
      <c r="I204" s="51">
        <f t="shared" si="5"/>
        <v>0.005539446956</v>
      </c>
      <c r="J204" s="52">
        <f t="shared" si="6"/>
        <v>-0.01064937019</v>
      </c>
      <c r="K204" s="40">
        <f t="shared" si="7"/>
        <v>-0.01107360945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7">
        <v>43622.0</v>
      </c>
      <c r="B205" s="39">
        <v>24.5544</v>
      </c>
      <c r="C205" s="40">
        <f t="shared" si="3"/>
        <v>-0.01472234595</v>
      </c>
      <c r="D205" s="42">
        <v>11843.75</v>
      </c>
      <c r="E205" s="40">
        <f t="shared" si="4"/>
        <v>-0.0147983014</v>
      </c>
      <c r="F205" s="43">
        <v>6.931</v>
      </c>
      <c r="G205" s="49">
        <f t="shared" si="1"/>
        <v>0.06931</v>
      </c>
      <c r="H205" s="50">
        <f t="shared" si="2"/>
        <v>0.0001836157064</v>
      </c>
      <c r="I205" s="51">
        <f t="shared" si="5"/>
        <v>-0.01253579682</v>
      </c>
      <c r="J205" s="52">
        <f t="shared" si="6"/>
        <v>-0.002186549127</v>
      </c>
      <c r="K205" s="40">
        <f t="shared" si="7"/>
        <v>-0.00226250458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7">
        <v>43623.0</v>
      </c>
      <c r="B206" s="39">
        <v>24.6096</v>
      </c>
      <c r="C206" s="40">
        <f t="shared" si="3"/>
        <v>0.002248069592</v>
      </c>
      <c r="D206" s="42">
        <v>11870.65</v>
      </c>
      <c r="E206" s="40">
        <f t="shared" si="4"/>
        <v>0.002271240106</v>
      </c>
      <c r="F206" s="43">
        <v>6.974</v>
      </c>
      <c r="G206" s="49">
        <f t="shared" si="1"/>
        <v>0.06974</v>
      </c>
      <c r="H206" s="50">
        <f t="shared" si="2"/>
        <v>0.0001847174096</v>
      </c>
      <c r="I206" s="51">
        <f t="shared" si="5"/>
        <v>0.006000049092</v>
      </c>
      <c r="J206" s="52">
        <f t="shared" si="6"/>
        <v>-0.003751979499</v>
      </c>
      <c r="K206" s="40">
        <f t="shared" si="7"/>
        <v>-0.003728808986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7">
        <v>43626.0</v>
      </c>
      <c r="B207" s="39">
        <v>24.7158</v>
      </c>
      <c r="C207" s="40">
        <f t="shared" si="3"/>
        <v>0.004315389116</v>
      </c>
      <c r="D207" s="42">
        <v>11922.7</v>
      </c>
      <c r="E207" s="40">
        <f t="shared" si="4"/>
        <v>0.004384764103</v>
      </c>
      <c r="F207" s="43">
        <v>7.077</v>
      </c>
      <c r="G207" s="49">
        <f t="shared" si="1"/>
        <v>0.07077</v>
      </c>
      <c r="H207" s="50">
        <f t="shared" si="2"/>
        <v>0.0001873545784</v>
      </c>
      <c r="I207" s="51">
        <f t="shared" si="5"/>
        <v>0.01427677403</v>
      </c>
      <c r="J207" s="52">
        <f t="shared" si="6"/>
        <v>-0.009961384909</v>
      </c>
      <c r="K207" s="40">
        <f t="shared" si="7"/>
        <v>-0.009892009922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7">
        <v>43627.0</v>
      </c>
      <c r="B208" s="39">
        <v>24.8038</v>
      </c>
      <c r="C208" s="40">
        <f t="shared" si="3"/>
        <v>0.003560475485</v>
      </c>
      <c r="D208" s="42">
        <v>11965.6</v>
      </c>
      <c r="E208" s="40">
        <f t="shared" si="4"/>
        <v>0.003598178265</v>
      </c>
      <c r="F208" s="43">
        <v>7.037</v>
      </c>
      <c r="G208" s="49">
        <f t="shared" si="1"/>
        <v>0.07037</v>
      </c>
      <c r="H208" s="50">
        <f t="shared" si="2"/>
        <v>0.0001863307358</v>
      </c>
      <c r="I208" s="51">
        <f t="shared" si="5"/>
        <v>-0.005464732267</v>
      </c>
      <c r="J208" s="52">
        <f t="shared" si="6"/>
        <v>0.009025207753</v>
      </c>
      <c r="K208" s="40">
        <f t="shared" si="7"/>
        <v>0.009062910532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7">
        <v>43628.0</v>
      </c>
      <c r="B209" s="39">
        <v>24.6819</v>
      </c>
      <c r="C209" s="40">
        <f t="shared" si="3"/>
        <v>-0.004914569542</v>
      </c>
      <c r="D209" s="42">
        <v>11906.2</v>
      </c>
      <c r="E209" s="40">
        <f t="shared" si="4"/>
        <v>-0.004964230795</v>
      </c>
      <c r="F209" s="43">
        <v>7.012</v>
      </c>
      <c r="G209" s="49">
        <f t="shared" si="1"/>
        <v>0.07012</v>
      </c>
      <c r="H209" s="50">
        <f t="shared" si="2"/>
        <v>0.0001856906403</v>
      </c>
      <c r="I209" s="51">
        <f t="shared" si="5"/>
        <v>-0.003435264771</v>
      </c>
      <c r="J209" s="52">
        <f t="shared" si="6"/>
        <v>-0.001479304771</v>
      </c>
      <c r="K209" s="40">
        <f t="shared" si="7"/>
        <v>-0.001528966024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7">
        <v>43629.0</v>
      </c>
      <c r="B210" s="39">
        <v>24.7194</v>
      </c>
      <c r="C210" s="40">
        <f t="shared" si="3"/>
        <v>0.00151933198</v>
      </c>
      <c r="D210" s="42">
        <v>11914.05</v>
      </c>
      <c r="E210" s="40">
        <f t="shared" si="4"/>
        <v>0.0006593203541</v>
      </c>
      <c r="F210" s="43">
        <v>7.009</v>
      </c>
      <c r="G210" s="49">
        <f t="shared" si="1"/>
        <v>0.07009</v>
      </c>
      <c r="H210" s="50">
        <f t="shared" si="2"/>
        <v>0.0001856138189</v>
      </c>
      <c r="I210" s="51">
        <f t="shared" si="5"/>
        <v>-0.0004137067469</v>
      </c>
      <c r="J210" s="52">
        <f t="shared" si="6"/>
        <v>0.001933038727</v>
      </c>
      <c r="K210" s="40">
        <f t="shared" si="7"/>
        <v>0.001073027101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7">
        <v>43630.0</v>
      </c>
      <c r="B211" s="39">
        <v>24.5312</v>
      </c>
      <c r="C211" s="40">
        <f t="shared" si="3"/>
        <v>-0.007613453401</v>
      </c>
      <c r="D211" s="42">
        <v>11823.3</v>
      </c>
      <c r="E211" s="40">
        <f t="shared" si="4"/>
        <v>-0.007617057172</v>
      </c>
      <c r="F211" s="43">
        <v>6.919</v>
      </c>
      <c r="G211" s="49">
        <f t="shared" si="1"/>
        <v>0.06919</v>
      </c>
      <c r="H211" s="50">
        <f t="shared" si="2"/>
        <v>0.0001833081755</v>
      </c>
      <c r="I211" s="51">
        <f t="shared" si="5"/>
        <v>-0.01242172276</v>
      </c>
      <c r="J211" s="52">
        <f t="shared" si="6"/>
        <v>0.004808269363</v>
      </c>
      <c r="K211" s="40">
        <f t="shared" si="7"/>
        <v>0.004804665592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7">
        <v>43633.0</v>
      </c>
      <c r="B212" s="39">
        <v>24.2199</v>
      </c>
      <c r="C212" s="40">
        <f t="shared" si="3"/>
        <v>-0.01268996217</v>
      </c>
      <c r="D212" s="42">
        <v>11672.15</v>
      </c>
      <c r="E212" s="40">
        <f t="shared" si="4"/>
        <v>-0.0127840789</v>
      </c>
      <c r="F212" s="43">
        <v>6.931</v>
      </c>
      <c r="G212" s="49">
        <f t="shared" si="1"/>
        <v>0.06931</v>
      </c>
      <c r="H212" s="50">
        <f t="shared" si="2"/>
        <v>0.0001836157064</v>
      </c>
      <c r="I212" s="51">
        <f t="shared" si="5"/>
        <v>0.001677671618</v>
      </c>
      <c r="J212" s="52">
        <f t="shared" si="6"/>
        <v>-0.01436763379</v>
      </c>
      <c r="K212" s="40">
        <f t="shared" si="7"/>
        <v>-0.01446175051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7">
        <v>43634.0</v>
      </c>
      <c r="B213" s="39">
        <v>24.2562</v>
      </c>
      <c r="C213" s="40">
        <f t="shared" si="3"/>
        <v>0.001498767542</v>
      </c>
      <c r="D213" s="42">
        <v>11691.5</v>
      </c>
      <c r="E213" s="40">
        <f t="shared" si="4"/>
        <v>0.001657792266</v>
      </c>
      <c r="F213" s="43">
        <v>6.808</v>
      </c>
      <c r="G213" s="49">
        <f t="shared" si="1"/>
        <v>0.06808</v>
      </c>
      <c r="H213" s="50">
        <f t="shared" si="2"/>
        <v>0.0001804618816</v>
      </c>
      <c r="I213" s="51">
        <f t="shared" si="5"/>
        <v>-0.01717622581</v>
      </c>
      <c r="J213" s="52">
        <f t="shared" si="6"/>
        <v>0.01867499335</v>
      </c>
      <c r="K213" s="40">
        <f t="shared" si="7"/>
        <v>0.01883401807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7">
        <v>43635.0</v>
      </c>
      <c r="B214" s="39">
        <v>24.2564</v>
      </c>
      <c r="C214" s="40">
        <f t="shared" si="3"/>
        <v>0.0000082453146</v>
      </c>
      <c r="D214" s="42">
        <v>11691.45</v>
      </c>
      <c r="E214" s="40">
        <f t="shared" si="4"/>
        <v>-0.000004276611213</v>
      </c>
      <c r="F214" s="43">
        <v>6.841</v>
      </c>
      <c r="G214" s="49">
        <f t="shared" si="1"/>
        <v>0.06841</v>
      </c>
      <c r="H214" s="50">
        <f t="shared" si="2"/>
        <v>0.0001813083851</v>
      </c>
      <c r="I214" s="51">
        <f t="shared" si="5"/>
        <v>0.004690760715</v>
      </c>
      <c r="J214" s="52">
        <f t="shared" si="6"/>
        <v>-0.004682515401</v>
      </c>
      <c r="K214" s="40">
        <f t="shared" si="7"/>
        <v>-0.004695037326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7">
        <v>43636.0</v>
      </c>
      <c r="B215" s="39">
        <v>24.5668</v>
      </c>
      <c r="C215" s="40">
        <f t="shared" si="3"/>
        <v>0.01279662275</v>
      </c>
      <c r="D215" s="42">
        <v>11831.75</v>
      </c>
      <c r="E215" s="40">
        <f t="shared" si="4"/>
        <v>0.01200022238</v>
      </c>
      <c r="F215" s="43">
        <v>6.791</v>
      </c>
      <c r="G215" s="49">
        <f t="shared" si="1"/>
        <v>0.06791</v>
      </c>
      <c r="H215" s="50">
        <f t="shared" si="2"/>
        <v>0.0001800257022</v>
      </c>
      <c r="I215" s="51">
        <f t="shared" si="5"/>
        <v>-0.007074592074</v>
      </c>
      <c r="J215" s="52">
        <f t="shared" si="6"/>
        <v>0.01987121482</v>
      </c>
      <c r="K215" s="40">
        <f t="shared" si="7"/>
        <v>0.01907481446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7">
        <v>43637.0</v>
      </c>
      <c r="B216" s="39">
        <v>24.3453</v>
      </c>
      <c r="C216" s="40">
        <f t="shared" si="3"/>
        <v>-0.00901623329</v>
      </c>
      <c r="D216" s="42">
        <v>11724.1</v>
      </c>
      <c r="E216" s="40">
        <f t="shared" si="4"/>
        <v>-0.00909840049</v>
      </c>
      <c r="F216" s="43">
        <v>6.861</v>
      </c>
      <c r="G216" s="49">
        <f t="shared" si="1"/>
        <v>0.06861</v>
      </c>
      <c r="H216" s="50">
        <f t="shared" si="2"/>
        <v>0.0001818212906</v>
      </c>
      <c r="I216" s="51">
        <f t="shared" si="5"/>
        <v>0.009974066915</v>
      </c>
      <c r="J216" s="52">
        <f t="shared" si="6"/>
        <v>-0.01899030021</v>
      </c>
      <c r="K216" s="40">
        <f t="shared" si="7"/>
        <v>-0.01907246741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7">
        <v>43640.0</v>
      </c>
      <c r="B217" s="39">
        <v>24.2944</v>
      </c>
      <c r="C217" s="40">
        <f t="shared" si="3"/>
        <v>-0.00209075263</v>
      </c>
      <c r="D217" s="42">
        <v>11699.65</v>
      </c>
      <c r="E217" s="40">
        <f t="shared" si="4"/>
        <v>-0.002085447924</v>
      </c>
      <c r="F217" s="43">
        <v>6.851</v>
      </c>
      <c r="G217" s="49">
        <f t="shared" si="1"/>
        <v>0.06851</v>
      </c>
      <c r="H217" s="50">
        <f t="shared" si="2"/>
        <v>0.0001815648498</v>
      </c>
      <c r="I217" s="51">
        <f t="shared" si="5"/>
        <v>-0.001410400288</v>
      </c>
      <c r="J217" s="52">
        <f t="shared" si="6"/>
        <v>-0.0006803523421</v>
      </c>
      <c r="K217" s="40">
        <f t="shared" si="7"/>
        <v>-0.0006750476357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7">
        <v>43641.0</v>
      </c>
      <c r="B218" s="39">
        <v>24.4934</v>
      </c>
      <c r="C218" s="40">
        <f t="shared" si="3"/>
        <v>0.008191188093</v>
      </c>
      <c r="D218" s="42">
        <v>11796.45</v>
      </c>
      <c r="E218" s="40">
        <f t="shared" si="4"/>
        <v>0.008273751779</v>
      </c>
      <c r="F218" s="43">
        <v>6.882</v>
      </c>
      <c r="G218" s="49">
        <f t="shared" si="1"/>
        <v>0.06882</v>
      </c>
      <c r="H218" s="50">
        <f t="shared" si="2"/>
        <v>0.0001823597384</v>
      </c>
      <c r="I218" s="51">
        <f t="shared" si="5"/>
        <v>0.004377987224</v>
      </c>
      <c r="J218" s="52">
        <f t="shared" si="6"/>
        <v>0.003813200869</v>
      </c>
      <c r="K218" s="40">
        <f t="shared" si="7"/>
        <v>0.003895764555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7">
        <v>43642.0</v>
      </c>
      <c r="B219" s="39">
        <v>24.5984</v>
      </c>
      <c r="C219" s="40">
        <f t="shared" si="3"/>
        <v>0.004286869116</v>
      </c>
      <c r="D219" s="42">
        <v>11847.55</v>
      </c>
      <c r="E219" s="40">
        <f t="shared" si="4"/>
        <v>0.004331811689</v>
      </c>
      <c r="F219" s="43">
        <v>6.933</v>
      </c>
      <c r="G219" s="49">
        <f t="shared" si="1"/>
        <v>0.06933</v>
      </c>
      <c r="H219" s="50">
        <f t="shared" si="2"/>
        <v>0.0001836669582</v>
      </c>
      <c r="I219" s="51">
        <f t="shared" si="5"/>
        <v>0.00716835756</v>
      </c>
      <c r="J219" s="52">
        <f t="shared" si="6"/>
        <v>-0.002881488444</v>
      </c>
      <c r="K219" s="40">
        <f t="shared" si="7"/>
        <v>-0.002836545871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7">
        <v>43643.0</v>
      </c>
      <c r="B220" s="39">
        <v>24.586</v>
      </c>
      <c r="C220" s="40">
        <f t="shared" si="3"/>
        <v>-0.0005040978275</v>
      </c>
      <c r="D220" s="42">
        <v>11841.55</v>
      </c>
      <c r="E220" s="40">
        <f t="shared" si="4"/>
        <v>-0.0005064338197</v>
      </c>
      <c r="F220" s="43">
        <v>6.897</v>
      </c>
      <c r="G220" s="49">
        <f t="shared" si="1"/>
        <v>0.06897</v>
      </c>
      <c r="H220" s="50">
        <f t="shared" si="2"/>
        <v>0.0001827442794</v>
      </c>
      <c r="I220" s="51">
        <f t="shared" si="5"/>
        <v>-0.005023651738</v>
      </c>
      <c r="J220" s="52">
        <f t="shared" si="6"/>
        <v>0.00451955391</v>
      </c>
      <c r="K220" s="40">
        <f t="shared" si="7"/>
        <v>0.004517217918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7">
        <v>43644.0</v>
      </c>
      <c r="B221" s="39">
        <v>24.4755</v>
      </c>
      <c r="C221" s="40">
        <f t="shared" si="3"/>
        <v>-0.004494427723</v>
      </c>
      <c r="D221" s="42">
        <v>11788.85</v>
      </c>
      <c r="E221" s="40">
        <f t="shared" si="4"/>
        <v>-0.004450430898</v>
      </c>
      <c r="F221" s="43">
        <v>6.879</v>
      </c>
      <c r="G221" s="49">
        <f t="shared" si="1"/>
        <v>0.06879</v>
      </c>
      <c r="H221" s="50">
        <f t="shared" si="2"/>
        <v>0.0001822828237</v>
      </c>
      <c r="I221" s="51">
        <f t="shared" si="5"/>
        <v>-0.002525144046</v>
      </c>
      <c r="J221" s="52">
        <f t="shared" si="6"/>
        <v>-0.001969283677</v>
      </c>
      <c r="K221" s="40">
        <f t="shared" si="7"/>
        <v>-0.001925286852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7">
        <v>43647.0</v>
      </c>
      <c r="B222" s="39">
        <v>24.6332</v>
      </c>
      <c r="C222" s="40">
        <f t="shared" si="3"/>
        <v>0.006443177872</v>
      </c>
      <c r="D222" s="42">
        <v>11865.6</v>
      </c>
      <c r="E222" s="40">
        <f t="shared" si="4"/>
        <v>0.006510389054</v>
      </c>
      <c r="F222" s="43">
        <v>6.882</v>
      </c>
      <c r="G222" s="49">
        <f t="shared" si="1"/>
        <v>0.06882</v>
      </c>
      <c r="H222" s="50">
        <f t="shared" si="2"/>
        <v>0.0001823597384</v>
      </c>
      <c r="I222" s="51">
        <f t="shared" si="5"/>
        <v>0.0004219522825</v>
      </c>
      <c r="J222" s="52">
        <f t="shared" si="6"/>
        <v>0.006021225589</v>
      </c>
      <c r="K222" s="40">
        <f t="shared" si="7"/>
        <v>0.006088436772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7">
        <v>43648.0</v>
      </c>
      <c r="B223" s="39">
        <v>24.7251</v>
      </c>
      <c r="C223" s="40">
        <f t="shared" si="3"/>
        <v>0.003730737379</v>
      </c>
      <c r="D223" s="42">
        <v>11910.3</v>
      </c>
      <c r="E223" s="40">
        <f t="shared" si="4"/>
        <v>0.003767192557</v>
      </c>
      <c r="F223" s="43">
        <v>6.846</v>
      </c>
      <c r="G223" s="49">
        <f t="shared" si="1"/>
        <v>0.06846</v>
      </c>
      <c r="H223" s="50">
        <f t="shared" si="2"/>
        <v>0.0001814366204</v>
      </c>
      <c r="I223" s="51">
        <f t="shared" si="5"/>
        <v>-0.005062071137</v>
      </c>
      <c r="J223" s="52">
        <f t="shared" si="6"/>
        <v>0.008792808516</v>
      </c>
      <c r="K223" s="40">
        <f t="shared" si="7"/>
        <v>0.008829263694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7">
        <v>43649.0</v>
      </c>
      <c r="B224" s="39">
        <v>24.7384</v>
      </c>
      <c r="C224" s="40">
        <f t="shared" si="3"/>
        <v>0.0005379149124</v>
      </c>
      <c r="D224" s="42">
        <v>11916.75</v>
      </c>
      <c r="E224" s="40">
        <f t="shared" si="4"/>
        <v>0.0005415480718</v>
      </c>
      <c r="F224" s="43">
        <v>6.833</v>
      </c>
      <c r="G224" s="49">
        <f t="shared" si="1"/>
        <v>0.06833</v>
      </c>
      <c r="H224" s="50">
        <f t="shared" si="2"/>
        <v>0.000181103196</v>
      </c>
      <c r="I224" s="51">
        <f t="shared" si="5"/>
        <v>-0.001837690674</v>
      </c>
      <c r="J224" s="52">
        <f t="shared" si="6"/>
        <v>0.002375605586</v>
      </c>
      <c r="K224" s="40">
        <f t="shared" si="7"/>
        <v>0.002379238745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7">
        <v>43650.0</v>
      </c>
      <c r="B225" s="39">
        <v>24.8062</v>
      </c>
      <c r="C225" s="40">
        <f t="shared" si="3"/>
        <v>0.002740678459</v>
      </c>
      <c r="D225" s="42">
        <v>11946.75</v>
      </c>
      <c r="E225" s="40">
        <f t="shared" si="4"/>
        <v>0.002517464913</v>
      </c>
      <c r="F225" s="43">
        <v>6.751</v>
      </c>
      <c r="G225" s="49">
        <f t="shared" si="1"/>
        <v>0.06751</v>
      </c>
      <c r="H225" s="50">
        <f t="shared" si="2"/>
        <v>0.0001789991246</v>
      </c>
      <c r="I225" s="51">
        <f t="shared" si="5"/>
        <v>-0.01161808</v>
      </c>
      <c r="J225" s="52">
        <f t="shared" si="6"/>
        <v>0.01435875846</v>
      </c>
      <c r="K225" s="40">
        <f t="shared" si="7"/>
        <v>0.01413554492</v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7">
        <v>43651.0</v>
      </c>
      <c r="B226" s="39">
        <v>24.5265</v>
      </c>
      <c r="C226" s="40">
        <f t="shared" si="3"/>
        <v>-0.01127540695</v>
      </c>
      <c r="D226" s="42">
        <v>11811.15</v>
      </c>
      <c r="E226" s="40">
        <f t="shared" si="4"/>
        <v>-0.01135036725</v>
      </c>
      <c r="F226" s="43">
        <v>6.695</v>
      </c>
      <c r="G226" s="49">
        <f t="shared" si="1"/>
        <v>0.06695</v>
      </c>
      <c r="H226" s="50">
        <f t="shared" si="2"/>
        <v>0.0001775612714</v>
      </c>
      <c r="I226" s="51">
        <f t="shared" si="5"/>
        <v>-0.008032739069</v>
      </c>
      <c r="J226" s="52">
        <f t="shared" si="6"/>
        <v>-0.003242667886</v>
      </c>
      <c r="K226" s="40">
        <f t="shared" si="7"/>
        <v>-0.003317628186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7">
        <v>43654.0</v>
      </c>
      <c r="B227" s="39">
        <v>24.0091</v>
      </c>
      <c r="C227" s="40">
        <f t="shared" si="3"/>
        <v>-0.02109554971</v>
      </c>
      <c r="D227" s="42">
        <v>11558.6</v>
      </c>
      <c r="E227" s="40">
        <f t="shared" si="4"/>
        <v>-0.02138233788</v>
      </c>
      <c r="F227" s="43">
        <v>6.562</v>
      </c>
      <c r="G227" s="49">
        <f t="shared" si="1"/>
        <v>0.06562</v>
      </c>
      <c r="H227" s="50">
        <f t="shared" si="2"/>
        <v>0.0001741433513</v>
      </c>
      <c r="I227" s="51">
        <f t="shared" si="5"/>
        <v>-0.01924924287</v>
      </c>
      <c r="J227" s="52">
        <f t="shared" si="6"/>
        <v>-0.001846306843</v>
      </c>
      <c r="K227" s="40">
        <f t="shared" si="7"/>
        <v>-0.002133095008</v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7">
        <v>43655.0</v>
      </c>
      <c r="B228" s="39">
        <v>24.0031</v>
      </c>
      <c r="C228" s="40">
        <f t="shared" si="3"/>
        <v>-0.0002499052443</v>
      </c>
      <c r="D228" s="42">
        <v>11555.9</v>
      </c>
      <c r="E228" s="40">
        <f t="shared" si="4"/>
        <v>-0.0002335923036</v>
      </c>
      <c r="F228" s="43">
        <v>6.588</v>
      </c>
      <c r="G228" s="49">
        <f t="shared" si="1"/>
        <v>0.06588</v>
      </c>
      <c r="H228" s="50">
        <f t="shared" si="2"/>
        <v>0.0001748118506</v>
      </c>
      <c r="I228" s="51">
        <f t="shared" si="5"/>
        <v>0.003838786992</v>
      </c>
      <c r="J228" s="52">
        <f t="shared" si="6"/>
        <v>-0.004088692236</v>
      </c>
      <c r="K228" s="40">
        <f t="shared" si="7"/>
        <v>-0.004072379295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7">
        <v>43656.0</v>
      </c>
      <c r="B229" s="39">
        <v>23.8871</v>
      </c>
      <c r="C229" s="40">
        <f t="shared" si="3"/>
        <v>-0.004832709108</v>
      </c>
      <c r="D229" s="42">
        <v>11498.9</v>
      </c>
      <c r="E229" s="40">
        <f t="shared" si="4"/>
        <v>-0.00493254528</v>
      </c>
      <c r="F229" s="43">
        <v>6.543</v>
      </c>
      <c r="G229" s="49">
        <f t="shared" si="1"/>
        <v>0.06543</v>
      </c>
      <c r="H229" s="50">
        <f t="shared" si="2"/>
        <v>0.0001736547298</v>
      </c>
      <c r="I229" s="51">
        <f t="shared" si="5"/>
        <v>-0.006619235314</v>
      </c>
      <c r="J229" s="52">
        <f t="shared" si="6"/>
        <v>0.001786526206</v>
      </c>
      <c r="K229" s="40">
        <f t="shared" si="7"/>
        <v>0.001686690034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7">
        <v>43657.0</v>
      </c>
      <c r="B230" s="39">
        <v>24.0632</v>
      </c>
      <c r="C230" s="40">
        <f t="shared" si="3"/>
        <v>0.007372179963</v>
      </c>
      <c r="D230" s="42">
        <v>11582.9</v>
      </c>
      <c r="E230" s="40">
        <f t="shared" si="4"/>
        <v>0.00730504657</v>
      </c>
      <c r="F230" s="43">
        <v>6.493</v>
      </c>
      <c r="G230" s="49">
        <f t="shared" si="1"/>
        <v>0.06493</v>
      </c>
      <c r="H230" s="50">
        <f t="shared" si="2"/>
        <v>0.0001723684683</v>
      </c>
      <c r="I230" s="51">
        <f t="shared" si="5"/>
        <v>-0.007407005366</v>
      </c>
      <c r="J230" s="52">
        <f t="shared" si="6"/>
        <v>0.01477918533</v>
      </c>
      <c r="K230" s="40">
        <f t="shared" si="7"/>
        <v>0.01471205194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7">
        <v>43658.0</v>
      </c>
      <c r="B231" s="39">
        <v>24.0015</v>
      </c>
      <c r="C231" s="40">
        <f t="shared" si="3"/>
        <v>-0.002564081253</v>
      </c>
      <c r="D231" s="42">
        <v>11552.5</v>
      </c>
      <c r="E231" s="40">
        <f t="shared" si="4"/>
        <v>-0.002624558617</v>
      </c>
      <c r="F231" s="43">
        <v>6.488</v>
      </c>
      <c r="G231" s="49">
        <f t="shared" si="1"/>
        <v>0.06488</v>
      </c>
      <c r="H231" s="50">
        <f t="shared" si="2"/>
        <v>0.000172239809</v>
      </c>
      <c r="I231" s="51">
        <f t="shared" si="5"/>
        <v>-0.0007464200144</v>
      </c>
      <c r="J231" s="52">
        <f t="shared" si="6"/>
        <v>-0.001817661238</v>
      </c>
      <c r="K231" s="40">
        <f t="shared" si="7"/>
        <v>-0.001878138602</v>
      </c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7">
        <v>43661.0</v>
      </c>
      <c r="B232" s="39">
        <v>24.0768</v>
      </c>
      <c r="C232" s="40">
        <f t="shared" si="3"/>
        <v>0.003137303919</v>
      </c>
      <c r="D232" s="42">
        <v>11588.35</v>
      </c>
      <c r="E232" s="40">
        <f t="shared" si="4"/>
        <v>0.00310322441</v>
      </c>
      <c r="F232" s="43">
        <v>6.433</v>
      </c>
      <c r="G232" s="49">
        <f t="shared" si="1"/>
        <v>0.06433</v>
      </c>
      <c r="H232" s="50">
        <f t="shared" si="2"/>
        <v>0.0001708241592</v>
      </c>
      <c r="I232" s="51">
        <f t="shared" si="5"/>
        <v>-0.008219062576</v>
      </c>
      <c r="J232" s="52">
        <f t="shared" si="6"/>
        <v>0.01135636649</v>
      </c>
      <c r="K232" s="40">
        <f t="shared" si="7"/>
        <v>0.01132228699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7">
        <v>43662.0</v>
      </c>
      <c r="B233" s="39">
        <v>24.2326</v>
      </c>
      <c r="C233" s="40">
        <f t="shared" si="3"/>
        <v>0.006470959596</v>
      </c>
      <c r="D233" s="42">
        <v>11662.6</v>
      </c>
      <c r="E233" s="40">
        <f t="shared" si="4"/>
        <v>0.006407296984</v>
      </c>
      <c r="F233" s="43">
        <v>6.331</v>
      </c>
      <c r="G233" s="49">
        <f t="shared" si="1"/>
        <v>0.06331</v>
      </c>
      <c r="H233" s="50">
        <f t="shared" si="2"/>
        <v>0.0001681968403</v>
      </c>
      <c r="I233" s="51">
        <f t="shared" si="5"/>
        <v>-0.01538025405</v>
      </c>
      <c r="J233" s="52">
        <f t="shared" si="6"/>
        <v>0.02185121364</v>
      </c>
      <c r="K233" s="40">
        <f t="shared" si="7"/>
        <v>0.02178755103</v>
      </c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7">
        <v>43663.0</v>
      </c>
      <c r="B234" s="39">
        <v>24.2829</v>
      </c>
      <c r="C234" s="40">
        <f t="shared" si="3"/>
        <v>0.002075716184</v>
      </c>
      <c r="D234" s="42">
        <v>11687.5</v>
      </c>
      <c r="E234" s="40">
        <f t="shared" si="4"/>
        <v>0.002135029925</v>
      </c>
      <c r="F234" s="43">
        <v>6.345</v>
      </c>
      <c r="G234" s="49">
        <f t="shared" si="1"/>
        <v>0.06345</v>
      </c>
      <c r="H234" s="50">
        <f t="shared" si="2"/>
        <v>0.0001685576014</v>
      </c>
      <c r="I234" s="51">
        <f t="shared" si="5"/>
        <v>0.002144874916</v>
      </c>
      <c r="J234" s="52">
        <f t="shared" si="6"/>
        <v>-0.00006915873191</v>
      </c>
      <c r="K234" s="40">
        <f t="shared" si="7"/>
        <v>-0.000009844991178</v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7">
        <v>43664.0</v>
      </c>
      <c r="B235" s="39">
        <v>24.1035</v>
      </c>
      <c r="C235" s="40">
        <f t="shared" si="3"/>
        <v>-0.007387914952</v>
      </c>
      <c r="D235" s="42">
        <v>11596.9</v>
      </c>
      <c r="E235" s="40">
        <f t="shared" si="4"/>
        <v>-0.007751871658</v>
      </c>
      <c r="F235" s="43">
        <v>6.387</v>
      </c>
      <c r="G235" s="49">
        <f t="shared" si="1"/>
        <v>0.06387</v>
      </c>
      <c r="H235" s="50">
        <f t="shared" si="2"/>
        <v>0.0001696396009</v>
      </c>
      <c r="I235" s="51">
        <f t="shared" si="5"/>
        <v>0.006419167289</v>
      </c>
      <c r="J235" s="52">
        <f t="shared" si="6"/>
        <v>-0.01380708224</v>
      </c>
      <c r="K235" s="40">
        <f t="shared" si="7"/>
        <v>-0.01417103895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7">
        <v>43665.0</v>
      </c>
      <c r="B236" s="39">
        <v>23.7579</v>
      </c>
      <c r="C236" s="40">
        <f t="shared" si="3"/>
        <v>-0.01433816666</v>
      </c>
      <c r="D236" s="42">
        <v>11419.25</v>
      </c>
      <c r="E236" s="40">
        <f t="shared" si="4"/>
        <v>-0.01531874898</v>
      </c>
      <c r="F236" s="43">
        <v>6.361</v>
      </c>
      <c r="G236" s="49">
        <f t="shared" si="1"/>
        <v>0.06361</v>
      </c>
      <c r="H236" s="50">
        <f t="shared" si="2"/>
        <v>0.0001689698419</v>
      </c>
      <c r="I236" s="51">
        <f t="shared" si="5"/>
        <v>-0.003948128463</v>
      </c>
      <c r="J236" s="52">
        <f t="shared" si="6"/>
        <v>-0.01039003819</v>
      </c>
      <c r="K236" s="40">
        <f t="shared" si="7"/>
        <v>-0.01137062051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7">
        <v>43668.0</v>
      </c>
      <c r="B237" s="39">
        <v>23.6135</v>
      </c>
      <c r="C237" s="40">
        <f t="shared" si="3"/>
        <v>-0.006077978272</v>
      </c>
      <c r="D237" s="42">
        <v>11346.2</v>
      </c>
      <c r="E237" s="40">
        <f t="shared" si="4"/>
        <v>-0.006397092629</v>
      </c>
      <c r="F237" s="43">
        <v>6.418</v>
      </c>
      <c r="G237" s="49">
        <f t="shared" si="1"/>
        <v>0.06418</v>
      </c>
      <c r="H237" s="50">
        <f t="shared" si="2"/>
        <v>0.0001704379463</v>
      </c>
      <c r="I237" s="51">
        <f t="shared" si="5"/>
        <v>0.008688558532</v>
      </c>
      <c r="J237" s="52">
        <f t="shared" si="6"/>
        <v>-0.0147665368</v>
      </c>
      <c r="K237" s="40">
        <f t="shared" si="7"/>
        <v>-0.01508565116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7">
        <v>43669.0</v>
      </c>
      <c r="B238" s="39">
        <v>23.5816</v>
      </c>
      <c r="C238" s="40">
        <f t="shared" si="3"/>
        <v>-0.001350922142</v>
      </c>
      <c r="D238" s="42">
        <v>11331.05</v>
      </c>
      <c r="E238" s="40">
        <f t="shared" si="4"/>
        <v>-0.001335248806</v>
      </c>
      <c r="F238" s="43">
        <v>6.464</v>
      </c>
      <c r="G238" s="49">
        <f t="shared" si="1"/>
        <v>0.06464</v>
      </c>
      <c r="H238" s="50">
        <f t="shared" si="2"/>
        <v>0.0001716221606</v>
      </c>
      <c r="I238" s="51">
        <f t="shared" si="5"/>
        <v>0.00694806714</v>
      </c>
      <c r="J238" s="52">
        <f t="shared" si="6"/>
        <v>-0.008298989282</v>
      </c>
      <c r="K238" s="40">
        <f t="shared" si="7"/>
        <v>-0.008283315946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7">
        <v>43670.0</v>
      </c>
      <c r="B239" s="39">
        <v>23.4706</v>
      </c>
      <c r="C239" s="40">
        <f t="shared" si="3"/>
        <v>-0.004707059741</v>
      </c>
      <c r="D239" s="42">
        <v>11271.3</v>
      </c>
      <c r="E239" s="40">
        <f t="shared" si="4"/>
        <v>-0.005273121202</v>
      </c>
      <c r="F239" s="43">
        <v>6.438</v>
      </c>
      <c r="G239" s="49">
        <f t="shared" si="1"/>
        <v>0.06438</v>
      </c>
      <c r="H239" s="50">
        <f t="shared" si="2"/>
        <v>0.0001709528848</v>
      </c>
      <c r="I239" s="51">
        <f t="shared" si="5"/>
        <v>-0.003899705023</v>
      </c>
      <c r="J239" s="52">
        <f t="shared" si="6"/>
        <v>-0.0008073547189</v>
      </c>
      <c r="K239" s="40">
        <f t="shared" si="7"/>
        <v>-0.00137341618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7">
        <v>43671.0</v>
      </c>
      <c r="B240" s="39">
        <v>23.4351</v>
      </c>
      <c r="C240" s="40">
        <f t="shared" si="3"/>
        <v>-0.00151253057</v>
      </c>
      <c r="D240" s="42">
        <v>11252.15</v>
      </c>
      <c r="E240" s="40">
        <f t="shared" si="4"/>
        <v>-0.001699005439</v>
      </c>
      <c r="F240" s="43">
        <v>6.514</v>
      </c>
      <c r="G240" s="49">
        <f t="shared" si="1"/>
        <v>0.06514</v>
      </c>
      <c r="H240" s="50">
        <f t="shared" si="2"/>
        <v>0.0001729087714</v>
      </c>
      <c r="I240" s="51">
        <f t="shared" si="5"/>
        <v>0.01144108592</v>
      </c>
      <c r="J240" s="52">
        <f t="shared" si="6"/>
        <v>-0.01295361649</v>
      </c>
      <c r="K240" s="40">
        <f t="shared" si="7"/>
        <v>-0.01314009136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7">
        <v>43672.0</v>
      </c>
      <c r="B241" s="39">
        <v>23.5011</v>
      </c>
      <c r="C241" s="40">
        <f t="shared" si="3"/>
        <v>0.002816288388</v>
      </c>
      <c r="D241" s="42">
        <v>11284.3</v>
      </c>
      <c r="E241" s="40">
        <f t="shared" si="4"/>
        <v>0.002857231729</v>
      </c>
      <c r="F241" s="43">
        <v>6.525</v>
      </c>
      <c r="G241" s="49">
        <f t="shared" si="1"/>
        <v>0.06525</v>
      </c>
      <c r="H241" s="50">
        <f t="shared" si="2"/>
        <v>0.000173191745</v>
      </c>
      <c r="I241" s="51">
        <f t="shared" si="5"/>
        <v>0.001636548291</v>
      </c>
      <c r="J241" s="52">
        <f t="shared" si="6"/>
        <v>0.001179740097</v>
      </c>
      <c r="K241" s="40">
        <f t="shared" si="7"/>
        <v>0.001220683438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7">
        <v>43675.0</v>
      </c>
      <c r="B242" s="39">
        <v>23.3057</v>
      </c>
      <c r="C242" s="40">
        <f t="shared" si="3"/>
        <v>-0.008314504427</v>
      </c>
      <c r="D242" s="42">
        <v>11189.2</v>
      </c>
      <c r="E242" s="40">
        <f t="shared" si="4"/>
        <v>-0.0084276384</v>
      </c>
      <c r="F242" s="43">
        <v>6.412</v>
      </c>
      <c r="G242" s="49">
        <f t="shared" si="1"/>
        <v>0.06412</v>
      </c>
      <c r="H242" s="50">
        <f t="shared" si="2"/>
        <v>0.0001702834459</v>
      </c>
      <c r="I242" s="51">
        <f t="shared" si="5"/>
        <v>-0.01679236535</v>
      </c>
      <c r="J242" s="52">
        <f t="shared" si="6"/>
        <v>0.008477860924</v>
      </c>
      <c r="K242" s="40">
        <f t="shared" si="7"/>
        <v>0.008364726951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7">
        <v>43676.0</v>
      </c>
      <c r="B243" s="39">
        <v>23.0927</v>
      </c>
      <c r="C243" s="40">
        <f t="shared" si="3"/>
        <v>-0.009139395084</v>
      </c>
      <c r="D243" s="42">
        <v>11085.4</v>
      </c>
      <c r="E243" s="40">
        <f t="shared" si="4"/>
        <v>-0.009276802631</v>
      </c>
      <c r="F243" s="48">
        <v>6.387</v>
      </c>
      <c r="G243" s="49">
        <f t="shared" si="1"/>
        <v>0.06387</v>
      </c>
      <c r="H243" s="50">
        <f t="shared" si="2"/>
        <v>0.0001696396009</v>
      </c>
      <c r="I243" s="51">
        <f t="shared" si="5"/>
        <v>-0.003781019664</v>
      </c>
      <c r="J243" s="52">
        <f t="shared" si="6"/>
        <v>-0.00535837542</v>
      </c>
      <c r="K243" s="40">
        <f t="shared" si="7"/>
        <v>-0.005495782967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7">
        <v>43677.0</v>
      </c>
      <c r="B244" s="39">
        <v>23.1602</v>
      </c>
      <c r="C244" s="40">
        <f t="shared" si="3"/>
        <v>0.002923001641</v>
      </c>
      <c r="D244" s="69">
        <v>11118.0</v>
      </c>
      <c r="E244" s="40">
        <f t="shared" si="4"/>
        <v>0.002940805023</v>
      </c>
      <c r="F244" s="43">
        <v>6.369</v>
      </c>
      <c r="G244" s="49">
        <f t="shared" si="1"/>
        <v>0.06369</v>
      </c>
      <c r="H244" s="50">
        <f t="shared" si="2"/>
        <v>0.000169175939</v>
      </c>
      <c r="I244" s="51">
        <f t="shared" si="5"/>
        <v>-0.002733217202</v>
      </c>
      <c r="J244" s="52">
        <f t="shared" si="6"/>
        <v>0.005656218844</v>
      </c>
      <c r="K244" s="40">
        <f t="shared" si="7"/>
        <v>0.005674022225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84">
        <v>43678.0</v>
      </c>
      <c r="B245" s="85">
        <v>22.8815</v>
      </c>
      <c r="C245" s="71">
        <f t="shared" si="3"/>
        <v>-0.01203357484</v>
      </c>
      <c r="D245" s="70">
        <v>10980.0</v>
      </c>
      <c r="E245" s="71">
        <f t="shared" si="4"/>
        <v>-0.01241230437</v>
      </c>
      <c r="F245" s="72">
        <v>6.423</v>
      </c>
      <c r="G245" s="73">
        <f t="shared" si="1"/>
        <v>0.06423</v>
      </c>
      <c r="H245" s="74">
        <f t="shared" si="2"/>
        <v>0.00017056669</v>
      </c>
      <c r="I245" s="75">
        <f t="shared" si="5"/>
        <v>0.008220737412</v>
      </c>
      <c r="J245" s="89">
        <f t="shared" si="6"/>
        <v>-0.02025431225</v>
      </c>
      <c r="K245" s="71">
        <f t="shared" si="7"/>
        <v>-0.02063304178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9"/>
      <c r="I246" s="10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9"/>
      <c r="I247" s="10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6" t="s">
        <v>35</v>
      </c>
      <c r="B248" s="5">
        <f t="shared" ref="B248:K248" si="8">AVERAGE(B4:B245)</f>
        <v>23.14113967</v>
      </c>
      <c r="C248" s="5">
        <f t="shared" si="8"/>
        <v>-0.00005231771233</v>
      </c>
      <c r="D248" s="5">
        <f t="shared" si="8"/>
        <v>11179.21157</v>
      </c>
      <c r="E248" s="77">
        <f t="shared" si="8"/>
        <v>-0.00009807723871</v>
      </c>
      <c r="F248" s="5">
        <f t="shared" si="8"/>
        <v>7.458446281</v>
      </c>
      <c r="G248" s="5">
        <f t="shared" si="8"/>
        <v>0.07458446281</v>
      </c>
      <c r="H248" s="5">
        <f t="shared" si="8"/>
        <v>0.000197076328</v>
      </c>
      <c r="I248" s="77">
        <f t="shared" si="8"/>
        <v>-0.0007069170763</v>
      </c>
      <c r="J248" s="5">
        <f t="shared" si="8"/>
        <v>0.000654599364</v>
      </c>
      <c r="K248" s="5">
        <f t="shared" si="8"/>
        <v>0.0006088398376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6" t="s">
        <v>36</v>
      </c>
      <c r="B249" s="5">
        <f t="shared" ref="B249:K249" si="9">STDEV(B4:B245)</f>
        <v>1.017693515</v>
      </c>
      <c r="C249" s="5">
        <f t="shared" si="9"/>
        <v>0.008595596155</v>
      </c>
      <c r="D249" s="5">
        <f t="shared" si="9"/>
        <v>485.5886639</v>
      </c>
      <c r="E249" s="5">
        <f t="shared" si="9"/>
        <v>0.008743152214</v>
      </c>
      <c r="F249" s="5">
        <f t="shared" si="9"/>
        <v>0.4380210202</v>
      </c>
      <c r="G249" s="5">
        <f t="shared" si="9"/>
        <v>0.004380210202</v>
      </c>
      <c r="H249" s="5">
        <f t="shared" si="9"/>
        <v>0.00001118755215</v>
      </c>
      <c r="I249" s="5">
        <f t="shared" si="9"/>
        <v>0.006459345241</v>
      </c>
      <c r="J249" s="5">
        <f t="shared" si="9"/>
        <v>0.01135231833</v>
      </c>
      <c r="K249" s="5">
        <f t="shared" si="9"/>
        <v>0.01146811968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76" t="s">
        <v>37</v>
      </c>
      <c r="B250" s="5">
        <f>INTERCEPT(C4:C245,E4:E245)</f>
        <v>0.00004407933811</v>
      </c>
      <c r="C250" s="76">
        <v>0.0</v>
      </c>
      <c r="D250" s="78"/>
      <c r="E250" s="5"/>
      <c r="F250" s="5"/>
      <c r="G250" s="5"/>
      <c r="H250" s="9"/>
      <c r="I250" s="10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6" t="s">
        <v>38</v>
      </c>
      <c r="B251" s="98">
        <f>SLOPE(C4:C245,E4:E245)</f>
        <v>0.9828687237</v>
      </c>
      <c r="C251" s="76">
        <v>1.0</v>
      </c>
      <c r="D251" s="78"/>
      <c r="E251" s="5"/>
      <c r="F251" s="5"/>
      <c r="G251" s="5"/>
      <c r="H251" s="9"/>
      <c r="I251" s="10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B252" s="5"/>
      <c r="C252" s="5"/>
      <c r="D252" s="78"/>
      <c r="E252" s="5"/>
      <c r="F252" s="5"/>
      <c r="G252" s="5"/>
      <c r="H252" s="9"/>
      <c r="I252" s="10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D253" s="78"/>
      <c r="E253" s="5"/>
      <c r="F253" s="5"/>
      <c r="G253" s="5"/>
      <c r="H253" s="9"/>
      <c r="I253" s="10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D254" s="78"/>
      <c r="E254" s="5"/>
      <c r="F254" s="5"/>
      <c r="G254" s="5"/>
      <c r="H254" s="9"/>
      <c r="I254" s="10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9"/>
      <c r="B255" s="81" t="s">
        <v>54</v>
      </c>
      <c r="C255" s="81" t="s">
        <v>55</v>
      </c>
      <c r="D255" s="78"/>
      <c r="E255" s="5"/>
      <c r="F255" s="5"/>
      <c r="G255" s="5"/>
      <c r="H255" s="9"/>
      <c r="I255" s="10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81" t="s">
        <v>41</v>
      </c>
      <c r="B256" s="100">
        <f>C248-(I248+B251*(E248-I248))</f>
        <v>0.00005618972985</v>
      </c>
      <c r="C256" s="100">
        <f>E248-(I248+C251*(E248-I248))</f>
        <v>0</v>
      </c>
      <c r="D256" s="78"/>
      <c r="E256" s="76" t="s">
        <v>57</v>
      </c>
      <c r="F256" s="5"/>
      <c r="G256" s="5"/>
      <c r="H256" s="9"/>
      <c r="I256" s="10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81" t="s">
        <v>42</v>
      </c>
      <c r="B257" s="100">
        <f>(C248-I248)/B251</f>
        <v>0.0006660089472</v>
      </c>
      <c r="C257" s="100">
        <f>(E248-I248)/C251</f>
        <v>0.0006088398376</v>
      </c>
      <c r="D257" s="78"/>
      <c r="E257" s="76" t="s">
        <v>59</v>
      </c>
      <c r="F257" s="5"/>
      <c r="G257" s="5"/>
      <c r="H257" s="9"/>
      <c r="I257" s="10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81" t="s">
        <v>43</v>
      </c>
      <c r="B258" s="100">
        <f>(C248-I248)/C249</f>
        <v>0.07615520229</v>
      </c>
      <c r="C258" s="100">
        <f>(E248-I248)/E249</f>
        <v>0.06963619329</v>
      </c>
      <c r="D258" s="78"/>
      <c r="E258" s="76" t="s">
        <v>61</v>
      </c>
      <c r="F258" s="5"/>
      <c r="G258" s="5"/>
      <c r="H258" s="9"/>
      <c r="I258" s="10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81" t="s">
        <v>44</v>
      </c>
      <c r="B259" s="100">
        <f>E249*(B258-C258)</f>
        <v>0.00005699668793</v>
      </c>
      <c r="C259" s="102">
        <v>0.0</v>
      </c>
      <c r="D259" s="78"/>
      <c r="E259" s="76" t="s">
        <v>62</v>
      </c>
      <c r="F259" s="5"/>
      <c r="G259" s="5"/>
      <c r="H259" s="9"/>
      <c r="I259" s="10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78"/>
      <c r="E260" s="5"/>
      <c r="F260" s="5"/>
      <c r="G260" s="5"/>
      <c r="H260" s="9"/>
      <c r="I260" s="10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78"/>
      <c r="E261" s="5"/>
      <c r="F261" s="5"/>
      <c r="G261" s="5"/>
      <c r="H261" s="9"/>
      <c r="I261" s="10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78"/>
      <c r="E262" s="5"/>
      <c r="F262" s="5"/>
      <c r="G262" s="5"/>
      <c r="H262" s="9"/>
      <c r="I262" s="10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78"/>
      <c r="E263" s="5"/>
      <c r="F263" s="5"/>
      <c r="G263" s="5"/>
      <c r="H263" s="9"/>
      <c r="I263" s="10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78"/>
      <c r="E264" s="5"/>
      <c r="F264" s="5"/>
      <c r="G264" s="5"/>
      <c r="H264" s="9"/>
      <c r="I264" s="10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78"/>
      <c r="E265" s="5"/>
      <c r="F265" s="5"/>
      <c r="G265" s="5"/>
      <c r="H265" s="9"/>
      <c r="I265" s="10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78"/>
      <c r="E266" s="5"/>
      <c r="F266" s="5"/>
      <c r="G266" s="5"/>
      <c r="H266" s="9"/>
      <c r="I266" s="10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78"/>
      <c r="E267" s="5"/>
      <c r="F267" s="5"/>
      <c r="G267" s="5"/>
      <c r="H267" s="9"/>
      <c r="I267" s="10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78"/>
      <c r="E268" s="5"/>
      <c r="F268" s="5"/>
      <c r="G268" s="5"/>
      <c r="H268" s="9"/>
      <c r="I268" s="10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78"/>
      <c r="E269" s="5"/>
      <c r="F269" s="5"/>
      <c r="G269" s="5"/>
      <c r="H269" s="9"/>
      <c r="I269" s="10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78"/>
      <c r="E270" s="5"/>
      <c r="F270" s="5"/>
      <c r="G270" s="5"/>
      <c r="H270" s="9"/>
      <c r="I270" s="10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78"/>
      <c r="E271" s="5"/>
      <c r="F271" s="5"/>
      <c r="G271" s="5"/>
      <c r="H271" s="9"/>
      <c r="I271" s="10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78"/>
      <c r="E272" s="5"/>
      <c r="F272" s="5"/>
      <c r="G272" s="5"/>
      <c r="H272" s="9"/>
      <c r="I272" s="10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78"/>
      <c r="E273" s="5"/>
      <c r="F273" s="5"/>
      <c r="G273" s="5"/>
      <c r="H273" s="9"/>
      <c r="I273" s="10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78"/>
      <c r="E274" s="5"/>
      <c r="F274" s="5"/>
      <c r="G274" s="5"/>
      <c r="H274" s="9"/>
      <c r="I274" s="10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78"/>
      <c r="E275" s="5"/>
      <c r="F275" s="5"/>
      <c r="G275" s="5"/>
      <c r="H275" s="9"/>
      <c r="I275" s="10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78"/>
      <c r="E276" s="5"/>
      <c r="F276" s="5"/>
      <c r="G276" s="5"/>
      <c r="H276" s="9"/>
      <c r="I276" s="10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78"/>
      <c r="E277" s="5"/>
      <c r="F277" s="5"/>
      <c r="G277" s="5"/>
      <c r="H277" s="9"/>
      <c r="I277" s="10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78"/>
      <c r="E278" s="5"/>
      <c r="F278" s="5"/>
      <c r="G278" s="5"/>
      <c r="H278" s="9"/>
      <c r="I278" s="10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78"/>
      <c r="E279" s="5"/>
      <c r="F279" s="5"/>
      <c r="G279" s="5"/>
      <c r="H279" s="9"/>
      <c r="I279" s="10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78"/>
      <c r="E280" s="5"/>
      <c r="F280" s="5"/>
      <c r="G280" s="5"/>
      <c r="H280" s="9"/>
      <c r="I280" s="10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78"/>
      <c r="E281" s="5"/>
      <c r="F281" s="5"/>
      <c r="G281" s="5"/>
      <c r="H281" s="9"/>
      <c r="I281" s="10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78"/>
      <c r="E282" s="5"/>
      <c r="F282" s="5"/>
      <c r="G282" s="5"/>
      <c r="H282" s="9"/>
      <c r="I282" s="10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78"/>
      <c r="E283" s="5"/>
      <c r="F283" s="5"/>
      <c r="G283" s="5"/>
      <c r="H283" s="9"/>
      <c r="I283" s="10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78"/>
      <c r="E284" s="5"/>
      <c r="F284" s="5"/>
      <c r="G284" s="5"/>
      <c r="H284" s="9"/>
      <c r="I284" s="10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78"/>
      <c r="E285" s="5"/>
      <c r="F285" s="5"/>
      <c r="G285" s="5"/>
      <c r="H285" s="9"/>
      <c r="I285" s="10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78"/>
      <c r="E286" s="5"/>
      <c r="F286" s="5"/>
      <c r="G286" s="5"/>
      <c r="H286" s="9"/>
      <c r="I286" s="10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78"/>
      <c r="E287" s="5"/>
      <c r="F287" s="5"/>
      <c r="G287" s="5"/>
      <c r="H287" s="9"/>
      <c r="I287" s="10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78"/>
      <c r="E288" s="5"/>
      <c r="F288" s="5"/>
      <c r="G288" s="5"/>
      <c r="H288" s="9"/>
      <c r="I288" s="10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78"/>
      <c r="E289" s="5"/>
      <c r="F289" s="5"/>
      <c r="G289" s="5"/>
      <c r="H289" s="9"/>
      <c r="I289" s="10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78"/>
      <c r="E290" s="5"/>
      <c r="F290" s="5"/>
      <c r="G290" s="5"/>
      <c r="H290" s="9"/>
      <c r="I290" s="10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78"/>
      <c r="E291" s="5"/>
      <c r="F291" s="5"/>
      <c r="G291" s="5"/>
      <c r="H291" s="9"/>
      <c r="I291" s="10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78"/>
      <c r="E292" s="5"/>
      <c r="F292" s="5"/>
      <c r="G292" s="5"/>
      <c r="H292" s="9"/>
      <c r="I292" s="10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78"/>
      <c r="E293" s="5"/>
      <c r="F293" s="5"/>
      <c r="G293" s="5"/>
      <c r="H293" s="9"/>
      <c r="I293" s="10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78"/>
      <c r="E294" s="5"/>
      <c r="F294" s="5"/>
      <c r="G294" s="5"/>
      <c r="H294" s="9"/>
      <c r="I294" s="10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78"/>
      <c r="E295" s="5"/>
      <c r="F295" s="5"/>
      <c r="G295" s="5"/>
      <c r="H295" s="9"/>
      <c r="I295" s="10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78"/>
      <c r="E296" s="5"/>
      <c r="F296" s="5"/>
      <c r="G296" s="5"/>
      <c r="H296" s="9"/>
      <c r="I296" s="10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78"/>
      <c r="E297" s="5"/>
      <c r="F297" s="5"/>
      <c r="G297" s="5"/>
      <c r="H297" s="9"/>
      <c r="I297" s="10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78"/>
      <c r="E298" s="5"/>
      <c r="F298" s="5"/>
      <c r="G298" s="5"/>
      <c r="H298" s="9"/>
      <c r="I298" s="10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78"/>
      <c r="E299" s="5"/>
      <c r="F299" s="5"/>
      <c r="G299" s="5"/>
      <c r="H299" s="9"/>
      <c r="I299" s="10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78"/>
      <c r="E300" s="5"/>
      <c r="F300" s="5"/>
      <c r="G300" s="5"/>
      <c r="H300" s="9"/>
      <c r="I300" s="10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78"/>
      <c r="E301" s="5"/>
      <c r="F301" s="5"/>
      <c r="G301" s="5"/>
      <c r="H301" s="9"/>
      <c r="I301" s="10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78"/>
      <c r="E302" s="5"/>
      <c r="F302" s="5"/>
      <c r="G302" s="5"/>
      <c r="H302" s="9"/>
      <c r="I302" s="10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78"/>
      <c r="E303" s="5"/>
      <c r="F303" s="5"/>
      <c r="G303" s="5"/>
      <c r="H303" s="9"/>
      <c r="I303" s="10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78"/>
      <c r="E304" s="5"/>
      <c r="F304" s="5"/>
      <c r="G304" s="5"/>
      <c r="H304" s="9"/>
      <c r="I304" s="10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78"/>
      <c r="E305" s="5"/>
      <c r="F305" s="5"/>
      <c r="G305" s="5"/>
      <c r="H305" s="9"/>
      <c r="I305" s="10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78"/>
      <c r="E306" s="5"/>
      <c r="F306" s="5"/>
      <c r="G306" s="5"/>
      <c r="H306" s="9"/>
      <c r="I306" s="10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78"/>
      <c r="E307" s="5"/>
      <c r="F307" s="5"/>
      <c r="G307" s="5"/>
      <c r="H307" s="9"/>
      <c r="I307" s="10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78"/>
      <c r="E308" s="5"/>
      <c r="F308" s="5"/>
      <c r="G308" s="5"/>
      <c r="H308" s="9"/>
      <c r="I308" s="10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78"/>
      <c r="E309" s="5"/>
      <c r="F309" s="5"/>
      <c r="G309" s="5"/>
      <c r="H309" s="9"/>
      <c r="I309" s="10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78"/>
      <c r="E310" s="5"/>
      <c r="F310" s="5"/>
      <c r="G310" s="5"/>
      <c r="H310" s="9"/>
      <c r="I310" s="10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78"/>
      <c r="E311" s="5"/>
      <c r="F311" s="5"/>
      <c r="G311" s="5"/>
      <c r="H311" s="9"/>
      <c r="I311" s="10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78"/>
      <c r="E312" s="5"/>
      <c r="F312" s="5"/>
      <c r="G312" s="5"/>
      <c r="H312" s="9"/>
      <c r="I312" s="10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78"/>
      <c r="E313" s="5"/>
      <c r="F313" s="5"/>
      <c r="G313" s="5"/>
      <c r="H313" s="9"/>
      <c r="I313" s="10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78"/>
      <c r="E314" s="5"/>
      <c r="F314" s="5"/>
      <c r="G314" s="5"/>
      <c r="H314" s="9"/>
      <c r="I314" s="10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78"/>
      <c r="E315" s="5"/>
      <c r="F315" s="5"/>
      <c r="G315" s="5"/>
      <c r="H315" s="9"/>
      <c r="I315" s="10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78"/>
      <c r="E316" s="5"/>
      <c r="F316" s="5"/>
      <c r="G316" s="5"/>
      <c r="H316" s="9"/>
      <c r="I316" s="10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78"/>
      <c r="E317" s="5"/>
      <c r="F317" s="5"/>
      <c r="G317" s="5"/>
      <c r="H317" s="9"/>
      <c r="I317" s="10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78"/>
      <c r="E318" s="5"/>
      <c r="F318" s="5"/>
      <c r="G318" s="5"/>
      <c r="H318" s="9"/>
      <c r="I318" s="10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78"/>
      <c r="E319" s="5"/>
      <c r="F319" s="5"/>
      <c r="G319" s="5"/>
      <c r="H319" s="9"/>
      <c r="I319" s="10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78"/>
      <c r="E320" s="5"/>
      <c r="F320" s="5"/>
      <c r="G320" s="5"/>
      <c r="H320" s="9"/>
      <c r="I320" s="10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78"/>
      <c r="E321" s="5"/>
      <c r="F321" s="5"/>
      <c r="G321" s="5"/>
      <c r="H321" s="9"/>
      <c r="I321" s="10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78"/>
      <c r="E322" s="5"/>
      <c r="F322" s="5"/>
      <c r="G322" s="5"/>
      <c r="H322" s="9"/>
      <c r="I322" s="10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78"/>
      <c r="E323" s="5"/>
      <c r="F323" s="5"/>
      <c r="G323" s="5"/>
      <c r="H323" s="9"/>
      <c r="I323" s="10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78"/>
      <c r="E324" s="5"/>
      <c r="F324" s="5"/>
      <c r="G324" s="5"/>
      <c r="H324" s="9"/>
      <c r="I324" s="10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78"/>
      <c r="E325" s="5"/>
      <c r="F325" s="5"/>
      <c r="G325" s="5"/>
      <c r="H325" s="9"/>
      <c r="I325" s="10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78"/>
      <c r="E326" s="5"/>
      <c r="F326" s="5"/>
      <c r="G326" s="5"/>
      <c r="H326" s="9"/>
      <c r="I326" s="10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78"/>
      <c r="E327" s="5"/>
      <c r="F327" s="5"/>
      <c r="G327" s="5"/>
      <c r="H327" s="9"/>
      <c r="I327" s="10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78"/>
      <c r="E328" s="5"/>
      <c r="F328" s="5"/>
      <c r="G328" s="5"/>
      <c r="H328" s="9"/>
      <c r="I328" s="10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78"/>
      <c r="E329" s="5"/>
      <c r="F329" s="5"/>
      <c r="G329" s="5"/>
      <c r="H329" s="9"/>
      <c r="I329" s="10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78"/>
      <c r="E330" s="5"/>
      <c r="F330" s="5"/>
      <c r="G330" s="5"/>
      <c r="H330" s="9"/>
      <c r="I330" s="10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78"/>
      <c r="E331" s="5"/>
      <c r="F331" s="5"/>
      <c r="G331" s="5"/>
      <c r="H331" s="9"/>
      <c r="I331" s="10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78"/>
      <c r="E332" s="5"/>
      <c r="F332" s="5"/>
      <c r="G332" s="5"/>
      <c r="H332" s="9"/>
      <c r="I332" s="10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78"/>
      <c r="E333" s="5"/>
      <c r="F333" s="5"/>
      <c r="G333" s="5"/>
      <c r="H333" s="9"/>
      <c r="I333" s="10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78"/>
      <c r="E334" s="5"/>
      <c r="F334" s="5"/>
      <c r="G334" s="5"/>
      <c r="H334" s="9"/>
      <c r="I334" s="10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78"/>
      <c r="E335" s="5"/>
      <c r="F335" s="5"/>
      <c r="G335" s="5"/>
      <c r="H335" s="9"/>
      <c r="I335" s="10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78"/>
      <c r="E336" s="5"/>
      <c r="F336" s="5"/>
      <c r="G336" s="5"/>
      <c r="H336" s="9"/>
      <c r="I336" s="10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78"/>
      <c r="E337" s="5"/>
      <c r="F337" s="5"/>
      <c r="G337" s="5"/>
      <c r="H337" s="9"/>
      <c r="I337" s="10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78"/>
      <c r="E338" s="5"/>
      <c r="F338" s="5"/>
      <c r="G338" s="5"/>
      <c r="H338" s="9"/>
      <c r="I338" s="10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78"/>
      <c r="E339" s="5"/>
      <c r="F339" s="5"/>
      <c r="G339" s="5"/>
      <c r="H339" s="9"/>
      <c r="I339" s="10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78"/>
      <c r="E340" s="5"/>
      <c r="F340" s="5"/>
      <c r="G340" s="5"/>
      <c r="H340" s="9"/>
      <c r="I340" s="10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78"/>
      <c r="E341" s="5"/>
      <c r="F341" s="5"/>
      <c r="G341" s="5"/>
      <c r="H341" s="9"/>
      <c r="I341" s="10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78"/>
      <c r="E342" s="5"/>
      <c r="F342" s="5"/>
      <c r="G342" s="5"/>
      <c r="H342" s="9"/>
      <c r="I342" s="10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78"/>
      <c r="E343" s="5"/>
      <c r="F343" s="5"/>
      <c r="G343" s="5"/>
      <c r="H343" s="9"/>
      <c r="I343" s="10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78"/>
      <c r="E344" s="5"/>
      <c r="F344" s="5"/>
      <c r="G344" s="5"/>
      <c r="H344" s="9"/>
      <c r="I344" s="10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78"/>
      <c r="E345" s="5"/>
      <c r="F345" s="5"/>
      <c r="G345" s="5"/>
      <c r="H345" s="9"/>
      <c r="I345" s="10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78"/>
      <c r="E346" s="5"/>
      <c r="F346" s="5"/>
      <c r="G346" s="5"/>
      <c r="H346" s="9"/>
      <c r="I346" s="10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78"/>
      <c r="E347" s="5"/>
      <c r="F347" s="5"/>
      <c r="G347" s="5"/>
      <c r="H347" s="9"/>
      <c r="I347" s="10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78"/>
      <c r="E348" s="5"/>
      <c r="F348" s="5"/>
      <c r="G348" s="5"/>
      <c r="H348" s="9"/>
      <c r="I348" s="10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78"/>
      <c r="E349" s="5"/>
      <c r="F349" s="5"/>
      <c r="G349" s="5"/>
      <c r="H349" s="9"/>
      <c r="I349" s="10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78"/>
      <c r="E350" s="5"/>
      <c r="F350" s="5"/>
      <c r="G350" s="5"/>
      <c r="H350" s="9"/>
      <c r="I350" s="10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78"/>
      <c r="E351" s="5"/>
      <c r="F351" s="5"/>
      <c r="G351" s="5"/>
      <c r="H351" s="9"/>
      <c r="I351" s="10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78"/>
      <c r="E352" s="5"/>
      <c r="F352" s="5"/>
      <c r="G352" s="5"/>
      <c r="H352" s="9"/>
      <c r="I352" s="10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78"/>
      <c r="E353" s="5"/>
      <c r="F353" s="5"/>
      <c r="G353" s="5"/>
      <c r="H353" s="9"/>
      <c r="I353" s="10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78"/>
      <c r="E354" s="5"/>
      <c r="F354" s="5"/>
      <c r="G354" s="5"/>
      <c r="H354" s="9"/>
      <c r="I354" s="10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78"/>
      <c r="E355" s="5"/>
      <c r="F355" s="5"/>
      <c r="G355" s="5"/>
      <c r="H355" s="9"/>
      <c r="I355" s="10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78"/>
      <c r="E356" s="5"/>
      <c r="F356" s="5"/>
      <c r="G356" s="5"/>
      <c r="H356" s="9"/>
      <c r="I356" s="10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78"/>
      <c r="E357" s="5"/>
      <c r="F357" s="5"/>
      <c r="G357" s="5"/>
      <c r="H357" s="9"/>
      <c r="I357" s="10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78"/>
      <c r="E358" s="5"/>
      <c r="F358" s="5"/>
      <c r="G358" s="5"/>
      <c r="H358" s="9"/>
      <c r="I358" s="10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78"/>
      <c r="E359" s="5"/>
      <c r="F359" s="5"/>
      <c r="G359" s="5"/>
      <c r="H359" s="9"/>
      <c r="I359" s="10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78"/>
      <c r="E360" s="5"/>
      <c r="F360" s="5"/>
      <c r="G360" s="5"/>
      <c r="H360" s="9"/>
      <c r="I360" s="10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78"/>
      <c r="E361" s="5"/>
      <c r="F361" s="5"/>
      <c r="G361" s="5"/>
      <c r="H361" s="9"/>
      <c r="I361" s="10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78"/>
      <c r="E362" s="5"/>
      <c r="F362" s="5"/>
      <c r="G362" s="5"/>
      <c r="H362" s="9"/>
      <c r="I362" s="10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78"/>
      <c r="E363" s="5"/>
      <c r="F363" s="5"/>
      <c r="G363" s="5"/>
      <c r="H363" s="9"/>
      <c r="I363" s="10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78"/>
      <c r="E364" s="5"/>
      <c r="F364" s="5"/>
      <c r="G364" s="5"/>
      <c r="H364" s="9"/>
      <c r="I364" s="10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78"/>
      <c r="E365" s="5"/>
      <c r="F365" s="5"/>
      <c r="G365" s="5"/>
      <c r="H365" s="9"/>
      <c r="I365" s="10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78"/>
      <c r="E366" s="5"/>
      <c r="F366" s="5"/>
      <c r="G366" s="5"/>
      <c r="H366" s="9"/>
      <c r="I366" s="10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78"/>
      <c r="E367" s="5"/>
      <c r="F367" s="5"/>
      <c r="G367" s="5"/>
      <c r="H367" s="9"/>
      <c r="I367" s="10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78"/>
      <c r="E368" s="5"/>
      <c r="F368" s="5"/>
      <c r="G368" s="5"/>
      <c r="H368" s="9"/>
      <c r="I368" s="10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78"/>
      <c r="E369" s="5"/>
      <c r="F369" s="5"/>
      <c r="G369" s="5"/>
      <c r="H369" s="9"/>
      <c r="I369" s="10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78"/>
      <c r="E370" s="5"/>
      <c r="F370" s="5"/>
      <c r="G370" s="5"/>
      <c r="H370" s="9"/>
      <c r="I370" s="10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78"/>
      <c r="E371" s="5"/>
      <c r="F371" s="5"/>
      <c r="G371" s="5"/>
      <c r="H371" s="9"/>
      <c r="I371" s="10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78"/>
      <c r="E372" s="5"/>
      <c r="F372" s="5"/>
      <c r="G372" s="5"/>
      <c r="H372" s="9"/>
      <c r="I372" s="10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78"/>
      <c r="E373" s="5"/>
      <c r="F373" s="5"/>
      <c r="G373" s="5"/>
      <c r="H373" s="9"/>
      <c r="I373" s="10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78"/>
      <c r="E374" s="5"/>
      <c r="F374" s="5"/>
      <c r="G374" s="5"/>
      <c r="H374" s="9"/>
      <c r="I374" s="10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78"/>
      <c r="E375" s="5"/>
      <c r="F375" s="5"/>
      <c r="G375" s="5"/>
      <c r="H375" s="9"/>
      <c r="I375" s="10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78"/>
      <c r="E376" s="5"/>
      <c r="F376" s="5"/>
      <c r="G376" s="5"/>
      <c r="H376" s="9"/>
      <c r="I376" s="10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78"/>
      <c r="E377" s="5"/>
      <c r="F377" s="5"/>
      <c r="G377" s="5"/>
      <c r="H377" s="9"/>
      <c r="I377" s="10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78"/>
      <c r="E378" s="5"/>
      <c r="F378" s="5"/>
      <c r="G378" s="5"/>
      <c r="H378" s="9"/>
      <c r="I378" s="10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78"/>
      <c r="E379" s="5"/>
      <c r="F379" s="5"/>
      <c r="G379" s="5"/>
      <c r="H379" s="9"/>
      <c r="I379" s="10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78"/>
      <c r="E380" s="5"/>
      <c r="F380" s="5"/>
      <c r="G380" s="5"/>
      <c r="H380" s="9"/>
      <c r="I380" s="10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78"/>
      <c r="E381" s="5"/>
      <c r="F381" s="5"/>
      <c r="G381" s="5"/>
      <c r="H381" s="9"/>
      <c r="I381" s="10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78"/>
      <c r="E382" s="5"/>
      <c r="F382" s="5"/>
      <c r="G382" s="5"/>
      <c r="H382" s="9"/>
      <c r="I382" s="10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78"/>
      <c r="E383" s="5"/>
      <c r="F383" s="5"/>
      <c r="G383" s="5"/>
      <c r="H383" s="9"/>
      <c r="I383" s="10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78"/>
      <c r="E384" s="5"/>
      <c r="F384" s="5"/>
      <c r="G384" s="5"/>
      <c r="H384" s="9"/>
      <c r="I384" s="10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78"/>
      <c r="E385" s="5"/>
      <c r="F385" s="5"/>
      <c r="G385" s="5"/>
      <c r="H385" s="9"/>
      <c r="I385" s="10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78"/>
      <c r="E386" s="5"/>
      <c r="F386" s="5"/>
      <c r="G386" s="5"/>
      <c r="H386" s="9"/>
      <c r="I386" s="10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78"/>
      <c r="E387" s="5"/>
      <c r="F387" s="5"/>
      <c r="G387" s="5"/>
      <c r="H387" s="9"/>
      <c r="I387" s="10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78"/>
      <c r="E388" s="5"/>
      <c r="F388" s="5"/>
      <c r="G388" s="5"/>
      <c r="H388" s="9"/>
      <c r="I388" s="10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78"/>
      <c r="E389" s="5"/>
      <c r="F389" s="5"/>
      <c r="G389" s="5"/>
      <c r="H389" s="9"/>
      <c r="I389" s="10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78"/>
      <c r="E390" s="5"/>
      <c r="F390" s="5"/>
      <c r="G390" s="5"/>
      <c r="H390" s="9"/>
      <c r="I390" s="10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78"/>
      <c r="E391" s="5"/>
      <c r="F391" s="5"/>
      <c r="G391" s="5"/>
      <c r="H391" s="9"/>
      <c r="I391" s="10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78"/>
      <c r="E392" s="5"/>
      <c r="F392" s="5"/>
      <c r="G392" s="5"/>
      <c r="H392" s="9"/>
      <c r="I392" s="10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78"/>
      <c r="E393" s="5"/>
      <c r="F393" s="5"/>
      <c r="G393" s="5"/>
      <c r="H393" s="9"/>
      <c r="I393" s="10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78"/>
      <c r="E394" s="5"/>
      <c r="F394" s="5"/>
      <c r="G394" s="5"/>
      <c r="H394" s="9"/>
      <c r="I394" s="10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78"/>
      <c r="E395" s="5"/>
      <c r="F395" s="5"/>
      <c r="G395" s="5"/>
      <c r="H395" s="9"/>
      <c r="I395" s="10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78"/>
      <c r="E396" s="5"/>
      <c r="F396" s="5"/>
      <c r="G396" s="5"/>
      <c r="H396" s="9"/>
      <c r="I396" s="10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78"/>
      <c r="E397" s="5"/>
      <c r="F397" s="5"/>
      <c r="G397" s="5"/>
      <c r="H397" s="9"/>
      <c r="I397" s="10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78"/>
      <c r="E398" s="5"/>
      <c r="F398" s="5"/>
      <c r="G398" s="5"/>
      <c r="H398" s="9"/>
      <c r="I398" s="10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78"/>
      <c r="E399" s="5"/>
      <c r="F399" s="5"/>
      <c r="G399" s="5"/>
      <c r="H399" s="9"/>
      <c r="I399" s="10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78"/>
      <c r="E400" s="5"/>
      <c r="F400" s="5"/>
      <c r="G400" s="5"/>
      <c r="H400" s="9"/>
      <c r="I400" s="10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78"/>
      <c r="E401" s="5"/>
      <c r="F401" s="5"/>
      <c r="G401" s="5"/>
      <c r="H401" s="9"/>
      <c r="I401" s="10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78"/>
      <c r="E402" s="5"/>
      <c r="F402" s="5"/>
      <c r="G402" s="5"/>
      <c r="H402" s="9"/>
      <c r="I402" s="10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78"/>
      <c r="E403" s="5"/>
      <c r="F403" s="5"/>
      <c r="G403" s="5"/>
      <c r="H403" s="9"/>
      <c r="I403" s="10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78"/>
      <c r="E404" s="5"/>
      <c r="F404" s="5"/>
      <c r="G404" s="5"/>
      <c r="H404" s="9"/>
      <c r="I404" s="10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78"/>
      <c r="E405" s="5"/>
      <c r="F405" s="5"/>
      <c r="G405" s="5"/>
      <c r="H405" s="9"/>
      <c r="I405" s="10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78"/>
      <c r="E406" s="5"/>
      <c r="F406" s="5"/>
      <c r="G406" s="5"/>
      <c r="H406" s="9"/>
      <c r="I406" s="10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78"/>
      <c r="E407" s="5"/>
      <c r="F407" s="5"/>
      <c r="G407" s="5"/>
      <c r="H407" s="9"/>
      <c r="I407" s="10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78"/>
      <c r="E408" s="5"/>
      <c r="F408" s="5"/>
      <c r="G408" s="5"/>
      <c r="H408" s="9"/>
      <c r="I408" s="10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78"/>
      <c r="E409" s="5"/>
      <c r="F409" s="5"/>
      <c r="G409" s="5"/>
      <c r="H409" s="9"/>
      <c r="I409" s="10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78"/>
      <c r="E410" s="5"/>
      <c r="F410" s="5"/>
      <c r="G410" s="5"/>
      <c r="H410" s="9"/>
      <c r="I410" s="10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78"/>
      <c r="E411" s="5"/>
      <c r="F411" s="5"/>
      <c r="G411" s="5"/>
      <c r="H411" s="9"/>
      <c r="I411" s="10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78"/>
      <c r="E412" s="5"/>
      <c r="F412" s="5"/>
      <c r="G412" s="5"/>
      <c r="H412" s="9"/>
      <c r="I412" s="10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78"/>
      <c r="E413" s="5"/>
      <c r="F413" s="5"/>
      <c r="G413" s="5"/>
      <c r="H413" s="9"/>
      <c r="I413" s="10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78"/>
      <c r="E414" s="5"/>
      <c r="F414" s="5"/>
      <c r="G414" s="5"/>
      <c r="H414" s="9"/>
      <c r="I414" s="10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78"/>
      <c r="E415" s="5"/>
      <c r="F415" s="5"/>
      <c r="G415" s="5"/>
      <c r="H415" s="9"/>
      <c r="I415" s="10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78"/>
      <c r="E416" s="5"/>
      <c r="F416" s="5"/>
      <c r="G416" s="5"/>
      <c r="H416" s="9"/>
      <c r="I416" s="10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78"/>
      <c r="E417" s="5"/>
      <c r="F417" s="5"/>
      <c r="G417" s="5"/>
      <c r="H417" s="9"/>
      <c r="I417" s="10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78"/>
      <c r="E418" s="5"/>
      <c r="F418" s="5"/>
      <c r="G418" s="5"/>
      <c r="H418" s="9"/>
      <c r="I418" s="10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78"/>
      <c r="E419" s="5"/>
      <c r="F419" s="5"/>
      <c r="G419" s="5"/>
      <c r="H419" s="9"/>
      <c r="I419" s="10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78"/>
      <c r="E420" s="5"/>
      <c r="F420" s="5"/>
      <c r="G420" s="5"/>
      <c r="H420" s="9"/>
      <c r="I420" s="10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78"/>
      <c r="E421" s="5"/>
      <c r="F421" s="5"/>
      <c r="G421" s="5"/>
      <c r="H421" s="9"/>
      <c r="I421" s="10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78"/>
      <c r="E422" s="5"/>
      <c r="F422" s="5"/>
      <c r="G422" s="5"/>
      <c r="H422" s="9"/>
      <c r="I422" s="10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78"/>
      <c r="E423" s="5"/>
      <c r="F423" s="5"/>
      <c r="G423" s="5"/>
      <c r="H423" s="9"/>
      <c r="I423" s="10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78"/>
      <c r="E424" s="5"/>
      <c r="F424" s="5"/>
      <c r="G424" s="5"/>
      <c r="H424" s="9"/>
      <c r="I424" s="10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78"/>
      <c r="E425" s="5"/>
      <c r="F425" s="5"/>
      <c r="G425" s="5"/>
      <c r="H425" s="9"/>
      <c r="I425" s="10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78"/>
      <c r="E426" s="5"/>
      <c r="F426" s="5"/>
      <c r="G426" s="5"/>
      <c r="H426" s="9"/>
      <c r="I426" s="10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78"/>
      <c r="E427" s="5"/>
      <c r="F427" s="5"/>
      <c r="G427" s="5"/>
      <c r="H427" s="9"/>
      <c r="I427" s="10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78"/>
      <c r="E428" s="5"/>
      <c r="F428" s="5"/>
      <c r="G428" s="5"/>
      <c r="H428" s="9"/>
      <c r="I428" s="10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78"/>
      <c r="E429" s="5"/>
      <c r="F429" s="5"/>
      <c r="G429" s="5"/>
      <c r="H429" s="9"/>
      <c r="I429" s="10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78"/>
      <c r="E430" s="5"/>
      <c r="F430" s="5"/>
      <c r="G430" s="5"/>
      <c r="H430" s="9"/>
      <c r="I430" s="10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78"/>
      <c r="E431" s="5"/>
      <c r="F431" s="5"/>
      <c r="G431" s="5"/>
      <c r="H431" s="9"/>
      <c r="I431" s="10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78"/>
      <c r="E432" s="5"/>
      <c r="F432" s="5"/>
      <c r="G432" s="5"/>
      <c r="H432" s="9"/>
      <c r="I432" s="10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78"/>
      <c r="E433" s="5"/>
      <c r="F433" s="5"/>
      <c r="G433" s="5"/>
      <c r="H433" s="9"/>
      <c r="I433" s="10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78"/>
      <c r="E434" s="5"/>
      <c r="F434" s="5"/>
      <c r="G434" s="5"/>
      <c r="H434" s="9"/>
      <c r="I434" s="10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78"/>
      <c r="E435" s="5"/>
      <c r="F435" s="5"/>
      <c r="G435" s="5"/>
      <c r="H435" s="9"/>
      <c r="I435" s="10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78"/>
      <c r="E436" s="5"/>
      <c r="F436" s="5"/>
      <c r="G436" s="5"/>
      <c r="H436" s="9"/>
      <c r="I436" s="10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78"/>
      <c r="E437" s="5"/>
      <c r="F437" s="5"/>
      <c r="G437" s="5"/>
      <c r="H437" s="9"/>
      <c r="I437" s="10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78"/>
      <c r="E438" s="5"/>
      <c r="F438" s="5"/>
      <c r="G438" s="5"/>
      <c r="H438" s="9"/>
      <c r="I438" s="10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78"/>
      <c r="E439" s="5"/>
      <c r="F439" s="5"/>
      <c r="G439" s="5"/>
      <c r="H439" s="9"/>
      <c r="I439" s="10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78"/>
      <c r="E440" s="5"/>
      <c r="F440" s="5"/>
      <c r="G440" s="5"/>
      <c r="H440" s="9"/>
      <c r="I440" s="10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78"/>
      <c r="E441" s="5"/>
      <c r="F441" s="5"/>
      <c r="G441" s="5"/>
      <c r="H441" s="9"/>
      <c r="I441" s="10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78"/>
      <c r="E442" s="5"/>
      <c r="F442" s="5"/>
      <c r="G442" s="5"/>
      <c r="H442" s="9"/>
      <c r="I442" s="10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78"/>
      <c r="E443" s="5"/>
      <c r="F443" s="5"/>
      <c r="G443" s="5"/>
      <c r="H443" s="9"/>
      <c r="I443" s="10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78"/>
      <c r="E444" s="5"/>
      <c r="F444" s="5"/>
      <c r="G444" s="5"/>
      <c r="H444" s="9"/>
      <c r="I444" s="10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78"/>
      <c r="E445" s="5"/>
      <c r="F445" s="5"/>
      <c r="G445" s="5"/>
      <c r="H445" s="9"/>
      <c r="I445" s="10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78"/>
      <c r="E446" s="5"/>
      <c r="F446" s="5"/>
      <c r="G446" s="5"/>
      <c r="H446" s="9"/>
      <c r="I446" s="10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78"/>
      <c r="E447" s="5"/>
      <c r="F447" s="5"/>
      <c r="G447" s="5"/>
      <c r="H447" s="9"/>
      <c r="I447" s="10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78"/>
      <c r="E448" s="5"/>
      <c r="F448" s="5"/>
      <c r="G448" s="5"/>
      <c r="H448" s="9"/>
      <c r="I448" s="10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78"/>
      <c r="E449" s="5"/>
      <c r="F449" s="5"/>
      <c r="G449" s="5"/>
      <c r="H449" s="9"/>
      <c r="I449" s="10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78"/>
      <c r="E450" s="5"/>
      <c r="F450" s="5"/>
      <c r="G450" s="5"/>
      <c r="H450" s="9"/>
      <c r="I450" s="10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78"/>
      <c r="E451" s="5"/>
      <c r="F451" s="5"/>
      <c r="G451" s="5"/>
      <c r="H451" s="9"/>
      <c r="I451" s="10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78"/>
      <c r="E452" s="5"/>
      <c r="F452" s="5"/>
      <c r="G452" s="5"/>
      <c r="H452" s="9"/>
      <c r="I452" s="10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78"/>
      <c r="E453" s="5"/>
      <c r="F453" s="5"/>
      <c r="G453" s="5"/>
      <c r="H453" s="9"/>
      <c r="I453" s="10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78"/>
      <c r="E454" s="5"/>
      <c r="F454" s="5"/>
      <c r="G454" s="5"/>
      <c r="H454" s="9"/>
      <c r="I454" s="10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78"/>
      <c r="E455" s="5"/>
      <c r="F455" s="5"/>
      <c r="G455" s="5"/>
      <c r="H455" s="9"/>
      <c r="I455" s="10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78"/>
      <c r="E456" s="5"/>
      <c r="F456" s="5"/>
      <c r="G456" s="5"/>
      <c r="H456" s="9"/>
      <c r="I456" s="10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78"/>
      <c r="E457" s="5"/>
      <c r="F457" s="5"/>
      <c r="G457" s="5"/>
      <c r="H457" s="9"/>
      <c r="I457" s="10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78"/>
      <c r="E458" s="5"/>
      <c r="F458" s="5"/>
      <c r="G458" s="5"/>
      <c r="H458" s="9"/>
      <c r="I458" s="10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78"/>
      <c r="E459" s="5"/>
      <c r="F459" s="5"/>
      <c r="G459" s="5"/>
      <c r="H459" s="9"/>
      <c r="I459" s="10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78"/>
      <c r="E460" s="5"/>
      <c r="F460" s="5"/>
      <c r="G460" s="5"/>
      <c r="H460" s="9"/>
      <c r="I460" s="10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78"/>
      <c r="E461" s="5"/>
      <c r="F461" s="5"/>
      <c r="G461" s="5"/>
      <c r="H461" s="9"/>
      <c r="I461" s="10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78"/>
      <c r="E462" s="5"/>
      <c r="F462" s="5"/>
      <c r="G462" s="5"/>
      <c r="H462" s="9"/>
      <c r="I462" s="10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78"/>
      <c r="E463" s="5"/>
      <c r="F463" s="5"/>
      <c r="G463" s="5"/>
      <c r="H463" s="9"/>
      <c r="I463" s="10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78"/>
      <c r="E464" s="5"/>
      <c r="F464" s="5"/>
      <c r="G464" s="5"/>
      <c r="H464" s="9"/>
      <c r="I464" s="10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78"/>
      <c r="E465" s="5"/>
      <c r="F465" s="5"/>
      <c r="G465" s="5"/>
      <c r="H465" s="9"/>
      <c r="I465" s="10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78"/>
      <c r="E466" s="5"/>
      <c r="F466" s="5"/>
      <c r="G466" s="5"/>
      <c r="H466" s="9"/>
      <c r="I466" s="10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78"/>
      <c r="E467" s="5"/>
      <c r="F467" s="5"/>
      <c r="G467" s="5"/>
      <c r="H467" s="9"/>
      <c r="I467" s="10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78"/>
      <c r="E468" s="5"/>
      <c r="F468" s="5"/>
      <c r="G468" s="5"/>
      <c r="H468" s="9"/>
      <c r="I468" s="10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78"/>
      <c r="E469" s="5"/>
      <c r="F469" s="5"/>
      <c r="G469" s="5"/>
      <c r="H469" s="9"/>
      <c r="I469" s="10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78"/>
      <c r="E470" s="5"/>
      <c r="F470" s="5"/>
      <c r="G470" s="5"/>
      <c r="H470" s="9"/>
      <c r="I470" s="10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78"/>
      <c r="E471" s="5"/>
      <c r="F471" s="5"/>
      <c r="G471" s="5"/>
      <c r="H471" s="9"/>
      <c r="I471" s="10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78"/>
      <c r="E472" s="5"/>
      <c r="F472" s="5"/>
      <c r="G472" s="5"/>
      <c r="H472" s="9"/>
      <c r="I472" s="10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78"/>
      <c r="E473" s="5"/>
      <c r="F473" s="5"/>
      <c r="G473" s="5"/>
      <c r="H473" s="9"/>
      <c r="I473" s="10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78"/>
      <c r="E474" s="5"/>
      <c r="F474" s="5"/>
      <c r="G474" s="5"/>
      <c r="H474" s="9"/>
      <c r="I474" s="10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78"/>
      <c r="E475" s="5"/>
      <c r="F475" s="5"/>
      <c r="G475" s="5"/>
      <c r="H475" s="9"/>
      <c r="I475" s="10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78"/>
      <c r="E476" s="5"/>
      <c r="F476" s="5"/>
      <c r="G476" s="5"/>
      <c r="H476" s="9"/>
      <c r="I476" s="10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78"/>
      <c r="E477" s="5"/>
      <c r="F477" s="5"/>
      <c r="G477" s="5"/>
      <c r="H477" s="9"/>
      <c r="I477" s="10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78"/>
      <c r="E478" s="5"/>
      <c r="F478" s="5"/>
      <c r="G478" s="5"/>
      <c r="H478" s="9"/>
      <c r="I478" s="10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78"/>
      <c r="E479" s="5"/>
      <c r="F479" s="5"/>
      <c r="G479" s="5"/>
      <c r="H479" s="9"/>
      <c r="I479" s="10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78"/>
      <c r="E480" s="5"/>
      <c r="F480" s="5"/>
      <c r="G480" s="5"/>
      <c r="H480" s="9"/>
      <c r="I480" s="10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78"/>
      <c r="E481" s="5"/>
      <c r="F481" s="5"/>
      <c r="G481" s="5"/>
      <c r="H481" s="9"/>
      <c r="I481" s="10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78"/>
      <c r="E482" s="5"/>
      <c r="F482" s="5"/>
      <c r="G482" s="5"/>
      <c r="H482" s="9"/>
      <c r="I482" s="10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78"/>
      <c r="E483" s="5"/>
      <c r="F483" s="5"/>
      <c r="G483" s="5"/>
      <c r="H483" s="9"/>
      <c r="I483" s="10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78"/>
      <c r="E484" s="5"/>
      <c r="F484" s="5"/>
      <c r="G484" s="5"/>
      <c r="H484" s="9"/>
      <c r="I484" s="10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78"/>
      <c r="E485" s="5"/>
      <c r="F485" s="5"/>
      <c r="G485" s="5"/>
      <c r="H485" s="9"/>
      <c r="I485" s="10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78"/>
      <c r="E486" s="5"/>
      <c r="F486" s="5"/>
      <c r="G486" s="5"/>
      <c r="H486" s="9"/>
      <c r="I486" s="10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78"/>
      <c r="E487" s="5"/>
      <c r="F487" s="5"/>
      <c r="G487" s="5"/>
      <c r="H487" s="9"/>
      <c r="I487" s="10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78"/>
      <c r="E488" s="5"/>
      <c r="F488" s="5"/>
      <c r="G488" s="5"/>
      <c r="H488" s="9"/>
      <c r="I488" s="10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78"/>
      <c r="E489" s="5"/>
      <c r="F489" s="5"/>
      <c r="G489" s="5"/>
      <c r="H489" s="9"/>
      <c r="I489" s="10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78"/>
      <c r="E490" s="5"/>
      <c r="F490" s="5"/>
      <c r="G490" s="5"/>
      <c r="H490" s="9"/>
      <c r="I490" s="10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78"/>
      <c r="E491" s="5"/>
      <c r="F491" s="5"/>
      <c r="G491" s="5"/>
      <c r="H491" s="9"/>
      <c r="I491" s="10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78"/>
      <c r="E492" s="5"/>
      <c r="F492" s="5"/>
      <c r="G492" s="5"/>
      <c r="H492" s="9"/>
      <c r="I492" s="10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78"/>
      <c r="E493" s="5"/>
      <c r="F493" s="5"/>
      <c r="G493" s="5"/>
      <c r="H493" s="9"/>
      <c r="I493" s="10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78"/>
      <c r="E494" s="5"/>
      <c r="F494" s="5"/>
      <c r="G494" s="5"/>
      <c r="H494" s="9"/>
      <c r="I494" s="10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78"/>
      <c r="E495" s="5"/>
      <c r="F495" s="5"/>
      <c r="G495" s="5"/>
      <c r="H495" s="9"/>
      <c r="I495" s="10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78"/>
      <c r="E496" s="5"/>
      <c r="F496" s="5"/>
      <c r="G496" s="5"/>
      <c r="H496" s="9"/>
      <c r="I496" s="10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78"/>
      <c r="E497" s="5"/>
      <c r="F497" s="5"/>
      <c r="G497" s="5"/>
      <c r="H497" s="9"/>
      <c r="I497" s="10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78"/>
      <c r="E498" s="5"/>
      <c r="F498" s="5"/>
      <c r="G498" s="5"/>
      <c r="H498" s="9"/>
      <c r="I498" s="10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78"/>
      <c r="E499" s="5"/>
      <c r="F499" s="5"/>
      <c r="G499" s="5"/>
      <c r="H499" s="9"/>
      <c r="I499" s="10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78"/>
      <c r="E500" s="5"/>
      <c r="F500" s="5"/>
      <c r="G500" s="5"/>
      <c r="H500" s="9"/>
      <c r="I500" s="10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78"/>
      <c r="E501" s="5"/>
      <c r="F501" s="5"/>
      <c r="G501" s="5"/>
      <c r="H501" s="9"/>
      <c r="I501" s="10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78"/>
      <c r="E502" s="5"/>
      <c r="F502" s="5"/>
      <c r="G502" s="5"/>
      <c r="H502" s="9"/>
      <c r="I502" s="10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78"/>
      <c r="E503" s="5"/>
      <c r="F503" s="5"/>
      <c r="G503" s="5"/>
      <c r="H503" s="9"/>
      <c r="I503" s="10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78"/>
      <c r="E504" s="5"/>
      <c r="F504" s="5"/>
      <c r="G504" s="5"/>
      <c r="H504" s="9"/>
      <c r="I504" s="10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78"/>
      <c r="E505" s="5"/>
      <c r="F505" s="5"/>
      <c r="G505" s="5"/>
      <c r="H505" s="9"/>
      <c r="I505" s="10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78"/>
      <c r="E506" s="5"/>
      <c r="F506" s="5"/>
      <c r="G506" s="5"/>
      <c r="H506" s="9"/>
      <c r="I506" s="10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78"/>
      <c r="E507" s="5"/>
      <c r="F507" s="5"/>
      <c r="G507" s="5"/>
      <c r="H507" s="9"/>
      <c r="I507" s="10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78"/>
      <c r="E508" s="5"/>
      <c r="F508" s="5"/>
      <c r="G508" s="5"/>
      <c r="H508" s="9"/>
      <c r="I508" s="10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78"/>
      <c r="E509" s="5"/>
      <c r="F509" s="5"/>
      <c r="G509" s="5"/>
      <c r="H509" s="9"/>
      <c r="I509" s="10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78"/>
      <c r="E510" s="5"/>
      <c r="F510" s="5"/>
      <c r="G510" s="5"/>
      <c r="H510" s="9"/>
      <c r="I510" s="10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78"/>
      <c r="E511" s="5"/>
      <c r="F511" s="5"/>
      <c r="G511" s="5"/>
      <c r="H511" s="9"/>
      <c r="I511" s="10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78"/>
      <c r="E512" s="5"/>
      <c r="F512" s="5"/>
      <c r="G512" s="5"/>
      <c r="H512" s="9"/>
      <c r="I512" s="10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78"/>
      <c r="E513" s="5"/>
      <c r="F513" s="5"/>
      <c r="G513" s="5"/>
      <c r="H513" s="9"/>
      <c r="I513" s="10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78"/>
      <c r="E514" s="5"/>
      <c r="F514" s="5"/>
      <c r="G514" s="5"/>
      <c r="H514" s="9"/>
      <c r="I514" s="10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78"/>
      <c r="E515" s="5"/>
      <c r="F515" s="5"/>
      <c r="G515" s="5"/>
      <c r="H515" s="9"/>
      <c r="I515" s="10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78"/>
      <c r="E516" s="5"/>
      <c r="F516" s="5"/>
      <c r="G516" s="5"/>
      <c r="H516" s="9"/>
      <c r="I516" s="10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78"/>
      <c r="E517" s="5"/>
      <c r="F517" s="5"/>
      <c r="G517" s="5"/>
      <c r="H517" s="9"/>
      <c r="I517" s="10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78"/>
      <c r="E518" s="5"/>
      <c r="F518" s="5"/>
      <c r="G518" s="5"/>
      <c r="H518" s="9"/>
      <c r="I518" s="10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78"/>
      <c r="E519" s="5"/>
      <c r="F519" s="5"/>
      <c r="G519" s="5"/>
      <c r="H519" s="9"/>
      <c r="I519" s="10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78"/>
      <c r="E520" s="5"/>
      <c r="F520" s="5"/>
      <c r="G520" s="5"/>
      <c r="H520" s="9"/>
      <c r="I520" s="10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78"/>
      <c r="E521" s="5"/>
      <c r="F521" s="5"/>
      <c r="G521" s="5"/>
      <c r="H521" s="9"/>
      <c r="I521" s="10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78"/>
      <c r="E522" s="5"/>
      <c r="F522" s="5"/>
      <c r="G522" s="5"/>
      <c r="H522" s="9"/>
      <c r="I522" s="10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78"/>
      <c r="E523" s="5"/>
      <c r="F523" s="5"/>
      <c r="G523" s="5"/>
      <c r="H523" s="9"/>
      <c r="I523" s="10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78"/>
      <c r="E524" s="5"/>
      <c r="F524" s="5"/>
      <c r="G524" s="5"/>
      <c r="H524" s="9"/>
      <c r="I524" s="10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78"/>
      <c r="E525" s="5"/>
      <c r="F525" s="5"/>
      <c r="G525" s="5"/>
      <c r="H525" s="9"/>
      <c r="I525" s="10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78"/>
      <c r="E526" s="5"/>
      <c r="F526" s="5"/>
      <c r="G526" s="5"/>
      <c r="H526" s="9"/>
      <c r="I526" s="10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78"/>
      <c r="E527" s="5"/>
      <c r="F527" s="5"/>
      <c r="G527" s="5"/>
      <c r="H527" s="9"/>
      <c r="I527" s="10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78"/>
      <c r="E528" s="5"/>
      <c r="F528" s="5"/>
      <c r="G528" s="5"/>
      <c r="H528" s="9"/>
      <c r="I528" s="10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78"/>
      <c r="E529" s="5"/>
      <c r="F529" s="5"/>
      <c r="G529" s="5"/>
      <c r="H529" s="9"/>
      <c r="I529" s="10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78"/>
      <c r="E530" s="5"/>
      <c r="F530" s="5"/>
      <c r="G530" s="5"/>
      <c r="H530" s="9"/>
      <c r="I530" s="10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78"/>
      <c r="E531" s="5"/>
      <c r="F531" s="5"/>
      <c r="G531" s="5"/>
      <c r="H531" s="9"/>
      <c r="I531" s="10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78"/>
      <c r="E532" s="5"/>
      <c r="F532" s="5"/>
      <c r="G532" s="5"/>
      <c r="H532" s="9"/>
      <c r="I532" s="10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78"/>
      <c r="E533" s="5"/>
      <c r="F533" s="5"/>
      <c r="G533" s="5"/>
      <c r="H533" s="9"/>
      <c r="I533" s="10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78"/>
      <c r="E534" s="5"/>
      <c r="F534" s="5"/>
      <c r="G534" s="5"/>
      <c r="H534" s="9"/>
      <c r="I534" s="10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78"/>
      <c r="E535" s="5"/>
      <c r="F535" s="5"/>
      <c r="G535" s="5"/>
      <c r="H535" s="9"/>
      <c r="I535" s="10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78"/>
      <c r="E536" s="5"/>
      <c r="F536" s="5"/>
      <c r="G536" s="5"/>
      <c r="H536" s="9"/>
      <c r="I536" s="10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78"/>
      <c r="E537" s="5"/>
      <c r="F537" s="5"/>
      <c r="G537" s="5"/>
      <c r="H537" s="9"/>
      <c r="I537" s="10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78"/>
      <c r="E538" s="5"/>
      <c r="F538" s="5"/>
      <c r="G538" s="5"/>
      <c r="H538" s="9"/>
      <c r="I538" s="10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78"/>
      <c r="E539" s="5"/>
      <c r="F539" s="5"/>
      <c r="G539" s="5"/>
      <c r="H539" s="9"/>
      <c r="I539" s="10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78"/>
      <c r="E540" s="5"/>
      <c r="F540" s="5"/>
      <c r="G540" s="5"/>
      <c r="H540" s="9"/>
      <c r="I540" s="10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78"/>
      <c r="E541" s="5"/>
      <c r="F541" s="5"/>
      <c r="G541" s="5"/>
      <c r="H541" s="9"/>
      <c r="I541" s="10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78"/>
      <c r="E542" s="5"/>
      <c r="F542" s="5"/>
      <c r="G542" s="5"/>
      <c r="H542" s="9"/>
      <c r="I542" s="10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78"/>
      <c r="E543" s="5"/>
      <c r="F543" s="5"/>
      <c r="G543" s="5"/>
      <c r="H543" s="9"/>
      <c r="I543" s="10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78"/>
      <c r="E544" s="5"/>
      <c r="F544" s="5"/>
      <c r="G544" s="5"/>
      <c r="H544" s="9"/>
      <c r="I544" s="10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78"/>
      <c r="E545" s="5"/>
      <c r="F545" s="5"/>
      <c r="G545" s="5"/>
      <c r="H545" s="9"/>
      <c r="I545" s="10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78"/>
      <c r="E546" s="5"/>
      <c r="F546" s="5"/>
      <c r="G546" s="5"/>
      <c r="H546" s="9"/>
      <c r="I546" s="10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78"/>
      <c r="E547" s="5"/>
      <c r="F547" s="5"/>
      <c r="G547" s="5"/>
      <c r="H547" s="9"/>
      <c r="I547" s="10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78"/>
      <c r="E548" s="5"/>
      <c r="F548" s="5"/>
      <c r="G548" s="5"/>
      <c r="H548" s="9"/>
      <c r="I548" s="10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78"/>
      <c r="E549" s="5"/>
      <c r="F549" s="5"/>
      <c r="G549" s="5"/>
      <c r="H549" s="9"/>
      <c r="I549" s="10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78"/>
      <c r="E550" s="5"/>
      <c r="F550" s="5"/>
      <c r="G550" s="5"/>
      <c r="H550" s="9"/>
      <c r="I550" s="10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78"/>
      <c r="E551" s="5"/>
      <c r="F551" s="5"/>
      <c r="G551" s="5"/>
      <c r="H551" s="9"/>
      <c r="I551" s="10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78"/>
      <c r="E552" s="5"/>
      <c r="F552" s="5"/>
      <c r="G552" s="5"/>
      <c r="H552" s="9"/>
      <c r="I552" s="10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78"/>
      <c r="E553" s="5"/>
      <c r="F553" s="5"/>
      <c r="G553" s="5"/>
      <c r="H553" s="9"/>
      <c r="I553" s="10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78"/>
      <c r="E554" s="5"/>
      <c r="F554" s="5"/>
      <c r="G554" s="5"/>
      <c r="H554" s="9"/>
      <c r="I554" s="10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78"/>
      <c r="E555" s="5"/>
      <c r="F555" s="5"/>
      <c r="G555" s="5"/>
      <c r="H555" s="9"/>
      <c r="I555" s="10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78"/>
      <c r="E556" s="5"/>
      <c r="F556" s="5"/>
      <c r="G556" s="5"/>
      <c r="H556" s="9"/>
      <c r="I556" s="10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78"/>
      <c r="E557" s="5"/>
      <c r="F557" s="5"/>
      <c r="G557" s="5"/>
      <c r="H557" s="9"/>
      <c r="I557" s="10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78"/>
      <c r="E558" s="5"/>
      <c r="F558" s="5"/>
      <c r="G558" s="5"/>
      <c r="H558" s="9"/>
      <c r="I558" s="10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78"/>
      <c r="E559" s="5"/>
      <c r="F559" s="5"/>
      <c r="G559" s="5"/>
      <c r="H559" s="9"/>
      <c r="I559" s="10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78"/>
      <c r="E560" s="5"/>
      <c r="F560" s="5"/>
      <c r="G560" s="5"/>
      <c r="H560" s="9"/>
      <c r="I560" s="10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78"/>
      <c r="E561" s="5"/>
      <c r="F561" s="5"/>
      <c r="G561" s="5"/>
      <c r="H561" s="9"/>
      <c r="I561" s="10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78"/>
      <c r="E562" s="5"/>
      <c r="F562" s="5"/>
      <c r="G562" s="5"/>
      <c r="H562" s="9"/>
      <c r="I562" s="10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78"/>
      <c r="E563" s="5"/>
      <c r="F563" s="5"/>
      <c r="G563" s="5"/>
      <c r="H563" s="9"/>
      <c r="I563" s="10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78"/>
      <c r="E564" s="5"/>
      <c r="F564" s="5"/>
      <c r="G564" s="5"/>
      <c r="H564" s="9"/>
      <c r="I564" s="10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78"/>
      <c r="E565" s="5"/>
      <c r="F565" s="5"/>
      <c r="G565" s="5"/>
      <c r="H565" s="9"/>
      <c r="I565" s="10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78"/>
      <c r="E566" s="5"/>
      <c r="F566" s="5"/>
      <c r="G566" s="5"/>
      <c r="H566" s="9"/>
      <c r="I566" s="10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78"/>
      <c r="E567" s="5"/>
      <c r="F567" s="5"/>
      <c r="G567" s="5"/>
      <c r="H567" s="9"/>
      <c r="I567" s="10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78"/>
      <c r="E568" s="5"/>
      <c r="F568" s="5"/>
      <c r="G568" s="5"/>
      <c r="H568" s="9"/>
      <c r="I568" s="10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78"/>
      <c r="E569" s="5"/>
      <c r="F569" s="5"/>
      <c r="G569" s="5"/>
      <c r="H569" s="9"/>
      <c r="I569" s="10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78"/>
      <c r="E570" s="5"/>
      <c r="F570" s="5"/>
      <c r="G570" s="5"/>
      <c r="H570" s="9"/>
      <c r="I570" s="10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78"/>
      <c r="E571" s="5"/>
      <c r="F571" s="5"/>
      <c r="G571" s="5"/>
      <c r="H571" s="9"/>
      <c r="I571" s="10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78"/>
      <c r="E572" s="5"/>
      <c r="F572" s="5"/>
      <c r="G572" s="5"/>
      <c r="H572" s="9"/>
      <c r="I572" s="10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78"/>
      <c r="E573" s="5"/>
      <c r="F573" s="5"/>
      <c r="G573" s="5"/>
      <c r="H573" s="9"/>
      <c r="I573" s="10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78"/>
      <c r="E574" s="5"/>
      <c r="F574" s="5"/>
      <c r="G574" s="5"/>
      <c r="H574" s="9"/>
      <c r="I574" s="10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78"/>
      <c r="E575" s="5"/>
      <c r="F575" s="5"/>
      <c r="G575" s="5"/>
      <c r="H575" s="9"/>
      <c r="I575" s="10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78"/>
      <c r="E576" s="5"/>
      <c r="F576" s="5"/>
      <c r="G576" s="5"/>
      <c r="H576" s="9"/>
      <c r="I576" s="10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78"/>
      <c r="E577" s="5"/>
      <c r="F577" s="5"/>
      <c r="G577" s="5"/>
      <c r="H577" s="9"/>
      <c r="I577" s="10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78"/>
      <c r="E578" s="5"/>
      <c r="F578" s="5"/>
      <c r="G578" s="5"/>
      <c r="H578" s="9"/>
      <c r="I578" s="10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78"/>
      <c r="E579" s="5"/>
      <c r="F579" s="5"/>
      <c r="G579" s="5"/>
      <c r="H579" s="9"/>
      <c r="I579" s="10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78"/>
      <c r="E580" s="5"/>
      <c r="F580" s="5"/>
      <c r="G580" s="5"/>
      <c r="H580" s="9"/>
      <c r="I580" s="10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78"/>
      <c r="E581" s="5"/>
      <c r="F581" s="5"/>
      <c r="G581" s="5"/>
      <c r="H581" s="9"/>
      <c r="I581" s="10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78"/>
      <c r="E582" s="5"/>
      <c r="F582" s="5"/>
      <c r="G582" s="5"/>
      <c r="H582" s="9"/>
      <c r="I582" s="10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78"/>
      <c r="E583" s="5"/>
      <c r="F583" s="5"/>
      <c r="G583" s="5"/>
      <c r="H583" s="9"/>
      <c r="I583" s="10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78"/>
      <c r="E584" s="5"/>
      <c r="F584" s="5"/>
      <c r="G584" s="5"/>
      <c r="H584" s="9"/>
      <c r="I584" s="10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78"/>
      <c r="E585" s="5"/>
      <c r="F585" s="5"/>
      <c r="G585" s="5"/>
      <c r="H585" s="9"/>
      <c r="I585" s="10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78"/>
      <c r="E586" s="5"/>
      <c r="F586" s="5"/>
      <c r="G586" s="5"/>
      <c r="H586" s="9"/>
      <c r="I586" s="10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78"/>
      <c r="E587" s="5"/>
      <c r="F587" s="5"/>
      <c r="G587" s="5"/>
      <c r="H587" s="9"/>
      <c r="I587" s="10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78"/>
      <c r="E588" s="5"/>
      <c r="F588" s="5"/>
      <c r="G588" s="5"/>
      <c r="H588" s="9"/>
      <c r="I588" s="10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78"/>
      <c r="E589" s="5"/>
      <c r="F589" s="5"/>
      <c r="G589" s="5"/>
      <c r="H589" s="9"/>
      <c r="I589" s="10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78"/>
      <c r="E590" s="5"/>
      <c r="F590" s="5"/>
      <c r="G590" s="5"/>
      <c r="H590" s="9"/>
      <c r="I590" s="10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78"/>
      <c r="E591" s="5"/>
      <c r="F591" s="5"/>
      <c r="G591" s="5"/>
      <c r="H591" s="9"/>
      <c r="I591" s="10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78"/>
      <c r="E592" s="5"/>
      <c r="F592" s="5"/>
      <c r="G592" s="5"/>
      <c r="H592" s="9"/>
      <c r="I592" s="10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78"/>
      <c r="E593" s="5"/>
      <c r="F593" s="5"/>
      <c r="G593" s="5"/>
      <c r="H593" s="9"/>
      <c r="I593" s="10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78"/>
      <c r="E594" s="5"/>
      <c r="F594" s="5"/>
      <c r="G594" s="5"/>
      <c r="H594" s="9"/>
      <c r="I594" s="10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78"/>
      <c r="E595" s="5"/>
      <c r="F595" s="5"/>
      <c r="G595" s="5"/>
      <c r="H595" s="9"/>
      <c r="I595" s="10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78"/>
      <c r="E596" s="5"/>
      <c r="F596" s="5"/>
      <c r="G596" s="5"/>
      <c r="H596" s="9"/>
      <c r="I596" s="10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78"/>
      <c r="E597" s="5"/>
      <c r="F597" s="5"/>
      <c r="G597" s="5"/>
      <c r="H597" s="9"/>
      <c r="I597" s="10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78"/>
      <c r="E598" s="5"/>
      <c r="F598" s="5"/>
      <c r="G598" s="5"/>
      <c r="H598" s="9"/>
      <c r="I598" s="10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78"/>
      <c r="E599" s="5"/>
      <c r="F599" s="5"/>
      <c r="G599" s="5"/>
      <c r="H599" s="9"/>
      <c r="I599" s="10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78"/>
      <c r="E600" s="5"/>
      <c r="F600" s="5"/>
      <c r="G600" s="5"/>
      <c r="H600" s="9"/>
      <c r="I600" s="10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78"/>
      <c r="E601" s="5"/>
      <c r="F601" s="5"/>
      <c r="G601" s="5"/>
      <c r="H601" s="9"/>
      <c r="I601" s="10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78"/>
      <c r="E602" s="5"/>
      <c r="F602" s="5"/>
      <c r="G602" s="5"/>
      <c r="H602" s="9"/>
      <c r="I602" s="10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78"/>
      <c r="E603" s="5"/>
      <c r="F603" s="5"/>
      <c r="G603" s="5"/>
      <c r="H603" s="9"/>
      <c r="I603" s="10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78"/>
      <c r="E604" s="5"/>
      <c r="F604" s="5"/>
      <c r="G604" s="5"/>
      <c r="H604" s="9"/>
      <c r="I604" s="10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78"/>
      <c r="E605" s="5"/>
      <c r="F605" s="5"/>
      <c r="G605" s="5"/>
      <c r="H605" s="9"/>
      <c r="I605" s="10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78"/>
      <c r="E606" s="5"/>
      <c r="F606" s="5"/>
      <c r="G606" s="5"/>
      <c r="H606" s="9"/>
      <c r="I606" s="10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78"/>
      <c r="E607" s="5"/>
      <c r="F607" s="5"/>
      <c r="G607" s="5"/>
      <c r="H607" s="9"/>
      <c r="I607" s="10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78"/>
      <c r="E608" s="5"/>
      <c r="F608" s="5"/>
      <c r="G608" s="5"/>
      <c r="H608" s="9"/>
      <c r="I608" s="10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78"/>
      <c r="E609" s="5"/>
      <c r="F609" s="5"/>
      <c r="G609" s="5"/>
      <c r="H609" s="9"/>
      <c r="I609" s="10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78"/>
      <c r="E610" s="5"/>
      <c r="F610" s="5"/>
      <c r="G610" s="5"/>
      <c r="H610" s="9"/>
      <c r="I610" s="10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78"/>
      <c r="E611" s="5"/>
      <c r="F611" s="5"/>
      <c r="G611" s="5"/>
      <c r="H611" s="9"/>
      <c r="I611" s="10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78"/>
      <c r="E612" s="5"/>
      <c r="F612" s="5"/>
      <c r="G612" s="5"/>
      <c r="H612" s="9"/>
      <c r="I612" s="10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78"/>
      <c r="E613" s="5"/>
      <c r="F613" s="5"/>
      <c r="G613" s="5"/>
      <c r="H613" s="9"/>
      <c r="I613" s="10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78"/>
      <c r="E614" s="5"/>
      <c r="F614" s="5"/>
      <c r="G614" s="5"/>
      <c r="H614" s="9"/>
      <c r="I614" s="10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78"/>
      <c r="E615" s="5"/>
      <c r="F615" s="5"/>
      <c r="G615" s="5"/>
      <c r="H615" s="9"/>
      <c r="I615" s="10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78"/>
      <c r="E616" s="5"/>
      <c r="F616" s="5"/>
      <c r="G616" s="5"/>
      <c r="H616" s="9"/>
      <c r="I616" s="10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78"/>
      <c r="E617" s="5"/>
      <c r="F617" s="5"/>
      <c r="G617" s="5"/>
      <c r="H617" s="9"/>
      <c r="I617" s="10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78"/>
      <c r="E618" s="5"/>
      <c r="F618" s="5"/>
      <c r="G618" s="5"/>
      <c r="H618" s="9"/>
      <c r="I618" s="10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78"/>
      <c r="E619" s="5"/>
      <c r="F619" s="5"/>
      <c r="G619" s="5"/>
      <c r="H619" s="9"/>
      <c r="I619" s="10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78"/>
      <c r="E620" s="5"/>
      <c r="F620" s="5"/>
      <c r="G620" s="5"/>
      <c r="H620" s="9"/>
      <c r="I620" s="10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78"/>
      <c r="E621" s="5"/>
      <c r="F621" s="5"/>
      <c r="G621" s="5"/>
      <c r="H621" s="9"/>
      <c r="I621" s="10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78"/>
      <c r="E622" s="5"/>
      <c r="F622" s="5"/>
      <c r="G622" s="5"/>
      <c r="H622" s="9"/>
      <c r="I622" s="10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78"/>
      <c r="E623" s="5"/>
      <c r="F623" s="5"/>
      <c r="G623" s="5"/>
      <c r="H623" s="9"/>
      <c r="I623" s="10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78"/>
      <c r="E624" s="5"/>
      <c r="F624" s="5"/>
      <c r="G624" s="5"/>
      <c r="H624" s="9"/>
      <c r="I624" s="10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78"/>
      <c r="E625" s="5"/>
      <c r="F625" s="5"/>
      <c r="G625" s="5"/>
      <c r="H625" s="9"/>
      <c r="I625" s="10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78"/>
      <c r="E626" s="5"/>
      <c r="F626" s="5"/>
      <c r="G626" s="5"/>
      <c r="H626" s="9"/>
      <c r="I626" s="10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78"/>
      <c r="E627" s="5"/>
      <c r="F627" s="5"/>
      <c r="G627" s="5"/>
      <c r="H627" s="9"/>
      <c r="I627" s="10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78"/>
      <c r="E628" s="5"/>
      <c r="F628" s="5"/>
      <c r="G628" s="5"/>
      <c r="H628" s="9"/>
      <c r="I628" s="10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78"/>
      <c r="E629" s="5"/>
      <c r="F629" s="5"/>
      <c r="G629" s="5"/>
      <c r="H629" s="9"/>
      <c r="I629" s="10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78"/>
      <c r="E630" s="5"/>
      <c r="F630" s="5"/>
      <c r="G630" s="5"/>
      <c r="H630" s="9"/>
      <c r="I630" s="10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78"/>
      <c r="E631" s="5"/>
      <c r="F631" s="5"/>
      <c r="G631" s="5"/>
      <c r="H631" s="9"/>
      <c r="I631" s="10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78"/>
      <c r="E632" s="5"/>
      <c r="F632" s="5"/>
      <c r="G632" s="5"/>
      <c r="H632" s="9"/>
      <c r="I632" s="10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78"/>
      <c r="E633" s="5"/>
      <c r="F633" s="5"/>
      <c r="G633" s="5"/>
      <c r="H633" s="9"/>
      <c r="I633" s="10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78"/>
      <c r="E634" s="5"/>
      <c r="F634" s="5"/>
      <c r="G634" s="5"/>
      <c r="H634" s="9"/>
      <c r="I634" s="10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78"/>
      <c r="E635" s="5"/>
      <c r="F635" s="5"/>
      <c r="G635" s="5"/>
      <c r="H635" s="9"/>
      <c r="I635" s="10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78"/>
      <c r="E636" s="5"/>
      <c r="F636" s="5"/>
      <c r="G636" s="5"/>
      <c r="H636" s="9"/>
      <c r="I636" s="10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78"/>
      <c r="E637" s="5"/>
      <c r="F637" s="5"/>
      <c r="G637" s="5"/>
      <c r="H637" s="9"/>
      <c r="I637" s="10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78"/>
      <c r="E638" s="5"/>
      <c r="F638" s="5"/>
      <c r="G638" s="5"/>
      <c r="H638" s="9"/>
      <c r="I638" s="10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78"/>
      <c r="E639" s="5"/>
      <c r="F639" s="5"/>
      <c r="G639" s="5"/>
      <c r="H639" s="9"/>
      <c r="I639" s="10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78"/>
      <c r="E640" s="5"/>
      <c r="F640" s="5"/>
      <c r="G640" s="5"/>
      <c r="H640" s="9"/>
      <c r="I640" s="10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78"/>
      <c r="E641" s="5"/>
      <c r="F641" s="5"/>
      <c r="G641" s="5"/>
      <c r="H641" s="9"/>
      <c r="I641" s="10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78"/>
      <c r="E642" s="5"/>
      <c r="F642" s="5"/>
      <c r="G642" s="5"/>
      <c r="H642" s="9"/>
      <c r="I642" s="10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78"/>
      <c r="E643" s="5"/>
      <c r="F643" s="5"/>
      <c r="G643" s="5"/>
      <c r="H643" s="9"/>
      <c r="I643" s="10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78"/>
      <c r="E644" s="5"/>
      <c r="F644" s="5"/>
      <c r="G644" s="5"/>
      <c r="H644" s="9"/>
      <c r="I644" s="10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78"/>
      <c r="E645" s="5"/>
      <c r="F645" s="5"/>
      <c r="G645" s="5"/>
      <c r="H645" s="9"/>
      <c r="I645" s="10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78"/>
      <c r="E646" s="5"/>
      <c r="F646" s="5"/>
      <c r="G646" s="5"/>
      <c r="H646" s="9"/>
      <c r="I646" s="10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78"/>
      <c r="E647" s="5"/>
      <c r="F647" s="5"/>
      <c r="G647" s="5"/>
      <c r="H647" s="9"/>
      <c r="I647" s="10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78"/>
      <c r="E648" s="5"/>
      <c r="F648" s="5"/>
      <c r="G648" s="5"/>
      <c r="H648" s="9"/>
      <c r="I648" s="10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78"/>
      <c r="E649" s="5"/>
      <c r="F649" s="5"/>
      <c r="G649" s="5"/>
      <c r="H649" s="9"/>
      <c r="I649" s="10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78"/>
      <c r="E650" s="5"/>
      <c r="F650" s="5"/>
      <c r="G650" s="5"/>
      <c r="H650" s="9"/>
      <c r="I650" s="10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78"/>
      <c r="E651" s="5"/>
      <c r="F651" s="5"/>
      <c r="G651" s="5"/>
      <c r="H651" s="9"/>
      <c r="I651" s="10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78"/>
      <c r="E652" s="5"/>
      <c r="F652" s="5"/>
      <c r="G652" s="5"/>
      <c r="H652" s="9"/>
      <c r="I652" s="10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78"/>
      <c r="E653" s="5"/>
      <c r="F653" s="5"/>
      <c r="G653" s="5"/>
      <c r="H653" s="9"/>
      <c r="I653" s="10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78"/>
      <c r="E654" s="5"/>
      <c r="F654" s="5"/>
      <c r="G654" s="5"/>
      <c r="H654" s="9"/>
      <c r="I654" s="10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78"/>
      <c r="E655" s="5"/>
      <c r="F655" s="5"/>
      <c r="G655" s="5"/>
      <c r="H655" s="9"/>
      <c r="I655" s="10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78"/>
      <c r="E656" s="5"/>
      <c r="F656" s="5"/>
      <c r="G656" s="5"/>
      <c r="H656" s="9"/>
      <c r="I656" s="10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78"/>
      <c r="E657" s="5"/>
      <c r="F657" s="5"/>
      <c r="G657" s="5"/>
      <c r="H657" s="9"/>
      <c r="I657" s="10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78"/>
      <c r="E658" s="5"/>
      <c r="F658" s="5"/>
      <c r="G658" s="5"/>
      <c r="H658" s="9"/>
      <c r="I658" s="10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78"/>
      <c r="E659" s="5"/>
      <c r="F659" s="5"/>
      <c r="G659" s="5"/>
      <c r="H659" s="9"/>
      <c r="I659" s="10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78"/>
      <c r="E660" s="5"/>
      <c r="F660" s="5"/>
      <c r="G660" s="5"/>
      <c r="H660" s="9"/>
      <c r="I660" s="10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78"/>
      <c r="E661" s="5"/>
      <c r="F661" s="5"/>
      <c r="G661" s="5"/>
      <c r="H661" s="9"/>
      <c r="I661" s="10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78"/>
      <c r="E662" s="5"/>
      <c r="F662" s="5"/>
      <c r="G662" s="5"/>
      <c r="H662" s="9"/>
      <c r="I662" s="10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78"/>
      <c r="E663" s="5"/>
      <c r="F663" s="5"/>
      <c r="G663" s="5"/>
      <c r="H663" s="9"/>
      <c r="I663" s="10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78"/>
      <c r="E664" s="5"/>
      <c r="F664" s="5"/>
      <c r="G664" s="5"/>
      <c r="H664" s="9"/>
      <c r="I664" s="10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78"/>
      <c r="E665" s="5"/>
      <c r="F665" s="5"/>
      <c r="G665" s="5"/>
      <c r="H665" s="9"/>
      <c r="I665" s="10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78"/>
      <c r="E666" s="5"/>
      <c r="F666" s="5"/>
      <c r="G666" s="5"/>
      <c r="H666" s="9"/>
      <c r="I666" s="10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78"/>
      <c r="E667" s="5"/>
      <c r="F667" s="5"/>
      <c r="G667" s="5"/>
      <c r="H667" s="9"/>
      <c r="I667" s="10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78"/>
      <c r="E668" s="5"/>
      <c r="F668" s="5"/>
      <c r="G668" s="5"/>
      <c r="H668" s="9"/>
      <c r="I668" s="10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78"/>
      <c r="E669" s="5"/>
      <c r="F669" s="5"/>
      <c r="G669" s="5"/>
      <c r="H669" s="9"/>
      <c r="I669" s="10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78"/>
      <c r="E670" s="5"/>
      <c r="F670" s="5"/>
      <c r="G670" s="5"/>
      <c r="H670" s="9"/>
      <c r="I670" s="10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78"/>
      <c r="E671" s="5"/>
      <c r="F671" s="5"/>
      <c r="G671" s="5"/>
      <c r="H671" s="9"/>
      <c r="I671" s="10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78"/>
      <c r="E672" s="5"/>
      <c r="F672" s="5"/>
      <c r="G672" s="5"/>
      <c r="H672" s="9"/>
      <c r="I672" s="10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78"/>
      <c r="E673" s="5"/>
      <c r="F673" s="5"/>
      <c r="G673" s="5"/>
      <c r="H673" s="9"/>
      <c r="I673" s="10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78"/>
      <c r="E674" s="5"/>
      <c r="F674" s="5"/>
      <c r="G674" s="5"/>
      <c r="H674" s="9"/>
      <c r="I674" s="10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78"/>
      <c r="E675" s="5"/>
      <c r="F675" s="5"/>
      <c r="G675" s="5"/>
      <c r="H675" s="9"/>
      <c r="I675" s="10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78"/>
      <c r="E676" s="5"/>
      <c r="F676" s="5"/>
      <c r="G676" s="5"/>
      <c r="H676" s="9"/>
      <c r="I676" s="10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78"/>
      <c r="E677" s="5"/>
      <c r="F677" s="5"/>
      <c r="G677" s="5"/>
      <c r="H677" s="9"/>
      <c r="I677" s="10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78"/>
      <c r="E678" s="5"/>
      <c r="F678" s="5"/>
      <c r="G678" s="5"/>
      <c r="H678" s="9"/>
      <c r="I678" s="10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78"/>
      <c r="E679" s="5"/>
      <c r="F679" s="5"/>
      <c r="G679" s="5"/>
      <c r="H679" s="9"/>
      <c r="I679" s="10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78"/>
      <c r="E680" s="5"/>
      <c r="F680" s="5"/>
      <c r="G680" s="5"/>
      <c r="H680" s="9"/>
      <c r="I680" s="10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78"/>
      <c r="E681" s="5"/>
      <c r="F681" s="5"/>
      <c r="G681" s="5"/>
      <c r="H681" s="9"/>
      <c r="I681" s="10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78"/>
      <c r="E682" s="5"/>
      <c r="F682" s="5"/>
      <c r="G682" s="5"/>
      <c r="H682" s="9"/>
      <c r="I682" s="10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78"/>
      <c r="E683" s="5"/>
      <c r="F683" s="5"/>
      <c r="G683" s="5"/>
      <c r="H683" s="9"/>
      <c r="I683" s="10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78"/>
      <c r="E684" s="5"/>
      <c r="F684" s="5"/>
      <c r="G684" s="5"/>
      <c r="H684" s="9"/>
      <c r="I684" s="10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78"/>
      <c r="E685" s="5"/>
      <c r="F685" s="5"/>
      <c r="G685" s="5"/>
      <c r="H685" s="9"/>
      <c r="I685" s="10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78"/>
      <c r="E686" s="5"/>
      <c r="F686" s="5"/>
      <c r="G686" s="5"/>
      <c r="H686" s="9"/>
      <c r="I686" s="10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78"/>
      <c r="E687" s="5"/>
      <c r="F687" s="5"/>
      <c r="G687" s="5"/>
      <c r="H687" s="9"/>
      <c r="I687" s="10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78"/>
      <c r="E688" s="5"/>
      <c r="F688" s="5"/>
      <c r="G688" s="5"/>
      <c r="H688" s="9"/>
      <c r="I688" s="10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78"/>
      <c r="E689" s="5"/>
      <c r="F689" s="5"/>
      <c r="G689" s="5"/>
      <c r="H689" s="9"/>
      <c r="I689" s="10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78"/>
      <c r="E690" s="5"/>
      <c r="F690" s="5"/>
      <c r="G690" s="5"/>
      <c r="H690" s="9"/>
      <c r="I690" s="10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78"/>
      <c r="E691" s="5"/>
      <c r="F691" s="5"/>
      <c r="G691" s="5"/>
      <c r="H691" s="9"/>
      <c r="I691" s="10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78"/>
      <c r="E692" s="5"/>
      <c r="F692" s="5"/>
      <c r="G692" s="5"/>
      <c r="H692" s="9"/>
      <c r="I692" s="10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78"/>
      <c r="E693" s="5"/>
      <c r="F693" s="5"/>
      <c r="G693" s="5"/>
      <c r="H693" s="9"/>
      <c r="I693" s="10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78"/>
      <c r="E694" s="5"/>
      <c r="F694" s="5"/>
      <c r="G694" s="5"/>
      <c r="H694" s="9"/>
      <c r="I694" s="10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78"/>
      <c r="E695" s="5"/>
      <c r="F695" s="5"/>
      <c r="G695" s="5"/>
      <c r="H695" s="9"/>
      <c r="I695" s="10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78"/>
      <c r="E696" s="5"/>
      <c r="F696" s="5"/>
      <c r="G696" s="5"/>
      <c r="H696" s="9"/>
      <c r="I696" s="10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78"/>
      <c r="E697" s="5"/>
      <c r="F697" s="5"/>
      <c r="G697" s="5"/>
      <c r="H697" s="9"/>
      <c r="I697" s="10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78"/>
      <c r="E698" s="5"/>
      <c r="F698" s="5"/>
      <c r="G698" s="5"/>
      <c r="H698" s="9"/>
      <c r="I698" s="10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78"/>
      <c r="E699" s="5"/>
      <c r="F699" s="5"/>
      <c r="G699" s="5"/>
      <c r="H699" s="9"/>
      <c r="I699" s="10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78"/>
      <c r="E700" s="5"/>
      <c r="F700" s="5"/>
      <c r="G700" s="5"/>
      <c r="H700" s="9"/>
      <c r="I700" s="10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78"/>
      <c r="E701" s="5"/>
      <c r="F701" s="5"/>
      <c r="G701" s="5"/>
      <c r="H701" s="9"/>
      <c r="I701" s="10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78"/>
      <c r="E702" s="5"/>
      <c r="F702" s="5"/>
      <c r="G702" s="5"/>
      <c r="H702" s="9"/>
      <c r="I702" s="10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78"/>
      <c r="E703" s="5"/>
      <c r="F703" s="5"/>
      <c r="G703" s="5"/>
      <c r="H703" s="9"/>
      <c r="I703" s="10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78"/>
      <c r="E704" s="5"/>
      <c r="F704" s="5"/>
      <c r="G704" s="5"/>
      <c r="H704" s="9"/>
      <c r="I704" s="10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78"/>
      <c r="E705" s="5"/>
      <c r="F705" s="5"/>
      <c r="G705" s="5"/>
      <c r="H705" s="9"/>
      <c r="I705" s="10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78"/>
      <c r="E706" s="5"/>
      <c r="F706" s="5"/>
      <c r="G706" s="5"/>
      <c r="H706" s="9"/>
      <c r="I706" s="10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78"/>
      <c r="E707" s="5"/>
      <c r="F707" s="5"/>
      <c r="G707" s="5"/>
      <c r="H707" s="9"/>
      <c r="I707" s="10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78"/>
      <c r="E708" s="5"/>
      <c r="F708" s="5"/>
      <c r="G708" s="5"/>
      <c r="H708" s="9"/>
      <c r="I708" s="10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78"/>
      <c r="E709" s="5"/>
      <c r="F709" s="5"/>
      <c r="G709" s="5"/>
      <c r="H709" s="9"/>
      <c r="I709" s="10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78"/>
      <c r="E710" s="5"/>
      <c r="F710" s="5"/>
      <c r="G710" s="5"/>
      <c r="H710" s="9"/>
      <c r="I710" s="10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78"/>
      <c r="E711" s="5"/>
      <c r="F711" s="5"/>
      <c r="G711" s="5"/>
      <c r="H711" s="9"/>
      <c r="I711" s="10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78"/>
      <c r="E712" s="5"/>
      <c r="F712" s="5"/>
      <c r="G712" s="5"/>
      <c r="H712" s="9"/>
      <c r="I712" s="10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78"/>
      <c r="E713" s="5"/>
      <c r="F713" s="5"/>
      <c r="G713" s="5"/>
      <c r="H713" s="9"/>
      <c r="I713" s="10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78"/>
      <c r="E714" s="5"/>
      <c r="F714" s="5"/>
      <c r="G714" s="5"/>
      <c r="H714" s="9"/>
      <c r="I714" s="10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78"/>
      <c r="E715" s="5"/>
      <c r="F715" s="5"/>
      <c r="G715" s="5"/>
      <c r="H715" s="9"/>
      <c r="I715" s="10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78"/>
      <c r="E716" s="5"/>
      <c r="F716" s="5"/>
      <c r="G716" s="5"/>
      <c r="H716" s="9"/>
      <c r="I716" s="10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78"/>
      <c r="E717" s="5"/>
      <c r="F717" s="5"/>
      <c r="G717" s="5"/>
      <c r="H717" s="9"/>
      <c r="I717" s="10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78"/>
      <c r="E718" s="5"/>
      <c r="F718" s="5"/>
      <c r="G718" s="5"/>
      <c r="H718" s="9"/>
      <c r="I718" s="10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78"/>
      <c r="E719" s="5"/>
      <c r="F719" s="5"/>
      <c r="G719" s="5"/>
      <c r="H719" s="9"/>
      <c r="I719" s="10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78"/>
      <c r="E720" s="5"/>
      <c r="F720" s="5"/>
      <c r="G720" s="5"/>
      <c r="H720" s="9"/>
      <c r="I720" s="10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78"/>
      <c r="E721" s="5"/>
      <c r="F721" s="5"/>
      <c r="G721" s="5"/>
      <c r="H721" s="9"/>
      <c r="I721" s="10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78"/>
      <c r="E722" s="5"/>
      <c r="F722" s="5"/>
      <c r="G722" s="5"/>
      <c r="H722" s="9"/>
      <c r="I722" s="10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78"/>
      <c r="E723" s="5"/>
      <c r="F723" s="5"/>
      <c r="G723" s="5"/>
      <c r="H723" s="9"/>
      <c r="I723" s="10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78"/>
      <c r="E724" s="5"/>
      <c r="F724" s="5"/>
      <c r="G724" s="5"/>
      <c r="H724" s="9"/>
      <c r="I724" s="10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78"/>
      <c r="E725" s="5"/>
      <c r="F725" s="5"/>
      <c r="G725" s="5"/>
      <c r="H725" s="9"/>
      <c r="I725" s="10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78"/>
      <c r="E726" s="5"/>
      <c r="F726" s="5"/>
      <c r="G726" s="5"/>
      <c r="H726" s="9"/>
      <c r="I726" s="10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78"/>
      <c r="E727" s="5"/>
      <c r="F727" s="5"/>
      <c r="G727" s="5"/>
      <c r="H727" s="9"/>
      <c r="I727" s="10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78"/>
      <c r="E728" s="5"/>
      <c r="F728" s="5"/>
      <c r="G728" s="5"/>
      <c r="H728" s="9"/>
      <c r="I728" s="10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78"/>
      <c r="E729" s="5"/>
      <c r="F729" s="5"/>
      <c r="G729" s="5"/>
      <c r="H729" s="9"/>
      <c r="I729" s="10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78"/>
      <c r="E730" s="5"/>
      <c r="F730" s="5"/>
      <c r="G730" s="5"/>
      <c r="H730" s="9"/>
      <c r="I730" s="10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78"/>
      <c r="E731" s="5"/>
      <c r="F731" s="5"/>
      <c r="G731" s="5"/>
      <c r="H731" s="9"/>
      <c r="I731" s="10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78"/>
      <c r="E732" s="5"/>
      <c r="F732" s="5"/>
      <c r="G732" s="5"/>
      <c r="H732" s="9"/>
      <c r="I732" s="10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78"/>
      <c r="E733" s="5"/>
      <c r="F733" s="5"/>
      <c r="G733" s="5"/>
      <c r="H733" s="9"/>
      <c r="I733" s="10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78"/>
      <c r="E734" s="5"/>
      <c r="F734" s="5"/>
      <c r="G734" s="5"/>
      <c r="H734" s="9"/>
      <c r="I734" s="10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78"/>
      <c r="E735" s="5"/>
      <c r="F735" s="5"/>
      <c r="G735" s="5"/>
      <c r="H735" s="9"/>
      <c r="I735" s="10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78"/>
      <c r="E736" s="5"/>
      <c r="F736" s="5"/>
      <c r="G736" s="5"/>
      <c r="H736" s="9"/>
      <c r="I736" s="10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78"/>
      <c r="E737" s="5"/>
      <c r="F737" s="5"/>
      <c r="G737" s="5"/>
      <c r="H737" s="9"/>
      <c r="I737" s="10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78"/>
      <c r="E738" s="5"/>
      <c r="F738" s="5"/>
      <c r="G738" s="5"/>
      <c r="H738" s="9"/>
      <c r="I738" s="10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78"/>
      <c r="E739" s="5"/>
      <c r="F739" s="5"/>
      <c r="G739" s="5"/>
      <c r="H739" s="9"/>
      <c r="I739" s="10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78"/>
      <c r="E740" s="5"/>
      <c r="F740" s="5"/>
      <c r="G740" s="5"/>
      <c r="H740" s="9"/>
      <c r="I740" s="10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78"/>
      <c r="E741" s="5"/>
      <c r="F741" s="5"/>
      <c r="G741" s="5"/>
      <c r="H741" s="9"/>
      <c r="I741" s="10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78"/>
      <c r="E742" s="5"/>
      <c r="F742" s="5"/>
      <c r="G742" s="5"/>
      <c r="H742" s="9"/>
      <c r="I742" s="10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78"/>
      <c r="E743" s="5"/>
      <c r="F743" s="5"/>
      <c r="G743" s="5"/>
      <c r="H743" s="9"/>
      <c r="I743" s="10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78"/>
      <c r="E744" s="5"/>
      <c r="F744" s="5"/>
      <c r="G744" s="5"/>
      <c r="H744" s="9"/>
      <c r="I744" s="10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78"/>
      <c r="E745" s="5"/>
      <c r="F745" s="5"/>
      <c r="G745" s="5"/>
      <c r="H745" s="9"/>
      <c r="I745" s="10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78"/>
      <c r="E746" s="5"/>
      <c r="F746" s="5"/>
      <c r="G746" s="5"/>
      <c r="H746" s="9"/>
      <c r="I746" s="10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78"/>
      <c r="E747" s="5"/>
      <c r="F747" s="5"/>
      <c r="G747" s="5"/>
      <c r="H747" s="9"/>
      <c r="I747" s="10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78"/>
      <c r="E748" s="5"/>
      <c r="F748" s="5"/>
      <c r="G748" s="5"/>
      <c r="H748" s="9"/>
      <c r="I748" s="10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78"/>
      <c r="E749" s="5"/>
      <c r="F749" s="5"/>
      <c r="G749" s="5"/>
      <c r="H749" s="9"/>
      <c r="I749" s="10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78"/>
      <c r="E750" s="5"/>
      <c r="F750" s="5"/>
      <c r="G750" s="5"/>
      <c r="H750" s="9"/>
      <c r="I750" s="10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78"/>
      <c r="E751" s="5"/>
      <c r="F751" s="5"/>
      <c r="G751" s="5"/>
      <c r="H751" s="9"/>
      <c r="I751" s="10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78"/>
      <c r="E752" s="5"/>
      <c r="F752" s="5"/>
      <c r="G752" s="5"/>
      <c r="H752" s="9"/>
      <c r="I752" s="10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78"/>
      <c r="E753" s="5"/>
      <c r="F753" s="5"/>
      <c r="G753" s="5"/>
      <c r="H753" s="9"/>
      <c r="I753" s="10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78"/>
      <c r="E754" s="5"/>
      <c r="F754" s="5"/>
      <c r="G754" s="5"/>
      <c r="H754" s="9"/>
      <c r="I754" s="10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78"/>
      <c r="E755" s="5"/>
      <c r="F755" s="5"/>
      <c r="G755" s="5"/>
      <c r="H755" s="9"/>
      <c r="I755" s="10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78"/>
      <c r="E756" s="5"/>
      <c r="F756" s="5"/>
      <c r="G756" s="5"/>
      <c r="H756" s="9"/>
      <c r="I756" s="10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78"/>
      <c r="E757" s="5"/>
      <c r="F757" s="5"/>
      <c r="G757" s="5"/>
      <c r="H757" s="9"/>
      <c r="I757" s="10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78"/>
      <c r="E758" s="5"/>
      <c r="F758" s="5"/>
      <c r="G758" s="5"/>
      <c r="H758" s="9"/>
      <c r="I758" s="10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78"/>
      <c r="E759" s="5"/>
      <c r="F759" s="5"/>
      <c r="G759" s="5"/>
      <c r="H759" s="9"/>
      <c r="I759" s="10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78"/>
      <c r="E760" s="5"/>
      <c r="F760" s="5"/>
      <c r="G760" s="5"/>
      <c r="H760" s="9"/>
      <c r="I760" s="10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78"/>
      <c r="E761" s="5"/>
      <c r="F761" s="5"/>
      <c r="G761" s="5"/>
      <c r="H761" s="9"/>
      <c r="I761" s="10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78"/>
      <c r="E762" s="5"/>
      <c r="F762" s="5"/>
      <c r="G762" s="5"/>
      <c r="H762" s="9"/>
      <c r="I762" s="10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78"/>
      <c r="E763" s="5"/>
      <c r="F763" s="5"/>
      <c r="G763" s="5"/>
      <c r="H763" s="9"/>
      <c r="I763" s="10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78"/>
      <c r="E764" s="5"/>
      <c r="F764" s="5"/>
      <c r="G764" s="5"/>
      <c r="H764" s="9"/>
      <c r="I764" s="10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78"/>
      <c r="E765" s="5"/>
      <c r="F765" s="5"/>
      <c r="G765" s="5"/>
      <c r="H765" s="9"/>
      <c r="I765" s="10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78"/>
      <c r="E766" s="5"/>
      <c r="F766" s="5"/>
      <c r="G766" s="5"/>
      <c r="H766" s="9"/>
      <c r="I766" s="10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78"/>
      <c r="E767" s="5"/>
      <c r="F767" s="5"/>
      <c r="G767" s="5"/>
      <c r="H767" s="9"/>
      <c r="I767" s="10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78"/>
      <c r="E768" s="5"/>
      <c r="F768" s="5"/>
      <c r="G768" s="5"/>
      <c r="H768" s="9"/>
      <c r="I768" s="10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78"/>
      <c r="E769" s="5"/>
      <c r="F769" s="5"/>
      <c r="G769" s="5"/>
      <c r="H769" s="9"/>
      <c r="I769" s="10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78"/>
      <c r="E770" s="5"/>
      <c r="F770" s="5"/>
      <c r="G770" s="5"/>
      <c r="H770" s="9"/>
      <c r="I770" s="10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78"/>
      <c r="E771" s="5"/>
      <c r="F771" s="5"/>
      <c r="G771" s="5"/>
      <c r="H771" s="9"/>
      <c r="I771" s="10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78"/>
      <c r="E772" s="5"/>
      <c r="F772" s="5"/>
      <c r="G772" s="5"/>
      <c r="H772" s="9"/>
      <c r="I772" s="10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78"/>
      <c r="E773" s="5"/>
      <c r="F773" s="5"/>
      <c r="G773" s="5"/>
      <c r="H773" s="9"/>
      <c r="I773" s="10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78"/>
      <c r="E774" s="5"/>
      <c r="F774" s="5"/>
      <c r="G774" s="5"/>
      <c r="H774" s="9"/>
      <c r="I774" s="10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78"/>
      <c r="E775" s="5"/>
      <c r="F775" s="5"/>
      <c r="G775" s="5"/>
      <c r="H775" s="9"/>
      <c r="I775" s="10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78"/>
      <c r="E776" s="5"/>
      <c r="F776" s="5"/>
      <c r="G776" s="5"/>
      <c r="H776" s="9"/>
      <c r="I776" s="10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78"/>
      <c r="E777" s="5"/>
      <c r="F777" s="5"/>
      <c r="G777" s="5"/>
      <c r="H777" s="9"/>
      <c r="I777" s="10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78"/>
      <c r="E778" s="5"/>
      <c r="F778" s="5"/>
      <c r="G778" s="5"/>
      <c r="H778" s="9"/>
      <c r="I778" s="10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78"/>
      <c r="E779" s="5"/>
      <c r="F779" s="5"/>
      <c r="G779" s="5"/>
      <c r="H779" s="9"/>
      <c r="I779" s="10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78"/>
      <c r="E780" s="5"/>
      <c r="F780" s="5"/>
      <c r="G780" s="5"/>
      <c r="H780" s="9"/>
      <c r="I780" s="10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78"/>
      <c r="E781" s="5"/>
      <c r="F781" s="5"/>
      <c r="G781" s="5"/>
      <c r="H781" s="9"/>
      <c r="I781" s="10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78"/>
      <c r="E782" s="5"/>
      <c r="F782" s="5"/>
      <c r="G782" s="5"/>
      <c r="H782" s="9"/>
      <c r="I782" s="10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78"/>
      <c r="E783" s="5"/>
      <c r="F783" s="5"/>
      <c r="G783" s="5"/>
      <c r="H783" s="9"/>
      <c r="I783" s="10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78"/>
      <c r="E784" s="5"/>
      <c r="F784" s="5"/>
      <c r="G784" s="5"/>
      <c r="H784" s="9"/>
      <c r="I784" s="10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78"/>
      <c r="E785" s="5"/>
      <c r="F785" s="5"/>
      <c r="G785" s="5"/>
      <c r="H785" s="9"/>
      <c r="I785" s="10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78"/>
      <c r="E786" s="5"/>
      <c r="F786" s="5"/>
      <c r="G786" s="5"/>
      <c r="H786" s="9"/>
      <c r="I786" s="10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78"/>
      <c r="E787" s="5"/>
      <c r="F787" s="5"/>
      <c r="G787" s="5"/>
      <c r="H787" s="9"/>
      <c r="I787" s="10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78"/>
      <c r="E788" s="5"/>
      <c r="F788" s="5"/>
      <c r="G788" s="5"/>
      <c r="H788" s="9"/>
      <c r="I788" s="10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78"/>
      <c r="E789" s="5"/>
      <c r="F789" s="5"/>
      <c r="G789" s="5"/>
      <c r="H789" s="9"/>
      <c r="I789" s="10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78"/>
      <c r="E790" s="5"/>
      <c r="F790" s="5"/>
      <c r="G790" s="5"/>
      <c r="H790" s="9"/>
      <c r="I790" s="10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78"/>
      <c r="E791" s="5"/>
      <c r="F791" s="5"/>
      <c r="G791" s="5"/>
      <c r="H791" s="9"/>
      <c r="I791" s="10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78"/>
      <c r="E792" s="5"/>
      <c r="F792" s="5"/>
      <c r="G792" s="5"/>
      <c r="H792" s="9"/>
      <c r="I792" s="10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78"/>
      <c r="E793" s="5"/>
      <c r="F793" s="5"/>
      <c r="G793" s="5"/>
      <c r="H793" s="9"/>
      <c r="I793" s="10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78"/>
      <c r="E794" s="5"/>
      <c r="F794" s="5"/>
      <c r="G794" s="5"/>
      <c r="H794" s="9"/>
      <c r="I794" s="10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78"/>
      <c r="E795" s="5"/>
      <c r="F795" s="5"/>
      <c r="G795" s="5"/>
      <c r="H795" s="9"/>
      <c r="I795" s="10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78"/>
      <c r="E796" s="5"/>
      <c r="F796" s="5"/>
      <c r="G796" s="5"/>
      <c r="H796" s="9"/>
      <c r="I796" s="10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78"/>
      <c r="E797" s="5"/>
      <c r="F797" s="5"/>
      <c r="G797" s="5"/>
      <c r="H797" s="9"/>
      <c r="I797" s="10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78"/>
      <c r="E798" s="5"/>
      <c r="F798" s="5"/>
      <c r="G798" s="5"/>
      <c r="H798" s="9"/>
      <c r="I798" s="10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78"/>
      <c r="E799" s="5"/>
      <c r="F799" s="5"/>
      <c r="G799" s="5"/>
      <c r="H799" s="9"/>
      <c r="I799" s="10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78"/>
      <c r="E800" s="5"/>
      <c r="F800" s="5"/>
      <c r="G800" s="5"/>
      <c r="H800" s="9"/>
      <c r="I800" s="10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78"/>
      <c r="E801" s="5"/>
      <c r="F801" s="5"/>
      <c r="G801" s="5"/>
      <c r="H801" s="9"/>
      <c r="I801" s="10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78"/>
      <c r="E802" s="5"/>
      <c r="F802" s="5"/>
      <c r="G802" s="5"/>
      <c r="H802" s="9"/>
      <c r="I802" s="10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78"/>
      <c r="E803" s="5"/>
      <c r="F803" s="5"/>
      <c r="G803" s="5"/>
      <c r="H803" s="9"/>
      <c r="I803" s="10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78"/>
      <c r="E804" s="5"/>
      <c r="F804" s="5"/>
      <c r="G804" s="5"/>
      <c r="H804" s="9"/>
      <c r="I804" s="10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78"/>
      <c r="E805" s="5"/>
      <c r="F805" s="5"/>
      <c r="G805" s="5"/>
      <c r="H805" s="9"/>
      <c r="I805" s="10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78"/>
      <c r="E806" s="5"/>
      <c r="F806" s="5"/>
      <c r="G806" s="5"/>
      <c r="H806" s="9"/>
      <c r="I806" s="10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78"/>
      <c r="E807" s="5"/>
      <c r="F807" s="5"/>
      <c r="G807" s="5"/>
      <c r="H807" s="9"/>
      <c r="I807" s="10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78"/>
      <c r="E808" s="5"/>
      <c r="F808" s="5"/>
      <c r="G808" s="5"/>
      <c r="H808" s="9"/>
      <c r="I808" s="10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78"/>
      <c r="E809" s="5"/>
      <c r="F809" s="5"/>
      <c r="G809" s="5"/>
      <c r="H809" s="9"/>
      <c r="I809" s="10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78"/>
      <c r="E810" s="5"/>
      <c r="F810" s="5"/>
      <c r="G810" s="5"/>
      <c r="H810" s="9"/>
      <c r="I810" s="10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78"/>
      <c r="E811" s="5"/>
      <c r="F811" s="5"/>
      <c r="G811" s="5"/>
      <c r="H811" s="9"/>
      <c r="I811" s="10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78"/>
      <c r="E812" s="5"/>
      <c r="F812" s="5"/>
      <c r="G812" s="5"/>
      <c r="H812" s="9"/>
      <c r="I812" s="10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78"/>
      <c r="E813" s="5"/>
      <c r="F813" s="5"/>
      <c r="G813" s="5"/>
      <c r="H813" s="9"/>
      <c r="I813" s="10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78"/>
      <c r="E814" s="5"/>
      <c r="F814" s="5"/>
      <c r="G814" s="5"/>
      <c r="H814" s="9"/>
      <c r="I814" s="10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78"/>
      <c r="E815" s="5"/>
      <c r="F815" s="5"/>
      <c r="G815" s="5"/>
      <c r="H815" s="9"/>
      <c r="I815" s="10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78"/>
      <c r="E816" s="5"/>
      <c r="F816" s="5"/>
      <c r="G816" s="5"/>
      <c r="H816" s="9"/>
      <c r="I816" s="10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78"/>
      <c r="E817" s="5"/>
      <c r="F817" s="5"/>
      <c r="G817" s="5"/>
      <c r="H817" s="9"/>
      <c r="I817" s="10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78"/>
      <c r="E818" s="5"/>
      <c r="F818" s="5"/>
      <c r="G818" s="5"/>
      <c r="H818" s="9"/>
      <c r="I818" s="10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78"/>
      <c r="E819" s="5"/>
      <c r="F819" s="5"/>
      <c r="G819" s="5"/>
      <c r="H819" s="9"/>
      <c r="I819" s="10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78"/>
      <c r="E820" s="5"/>
      <c r="F820" s="5"/>
      <c r="G820" s="5"/>
      <c r="H820" s="9"/>
      <c r="I820" s="10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78"/>
      <c r="E821" s="5"/>
      <c r="F821" s="5"/>
      <c r="G821" s="5"/>
      <c r="H821" s="9"/>
      <c r="I821" s="10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78"/>
      <c r="E822" s="5"/>
      <c r="F822" s="5"/>
      <c r="G822" s="5"/>
      <c r="H822" s="9"/>
      <c r="I822" s="10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78"/>
      <c r="E823" s="5"/>
      <c r="F823" s="5"/>
      <c r="G823" s="5"/>
      <c r="H823" s="9"/>
      <c r="I823" s="10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78"/>
      <c r="E824" s="5"/>
      <c r="F824" s="5"/>
      <c r="G824" s="5"/>
      <c r="H824" s="9"/>
      <c r="I824" s="10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78"/>
      <c r="E825" s="5"/>
      <c r="F825" s="5"/>
      <c r="G825" s="5"/>
      <c r="H825" s="9"/>
      <c r="I825" s="10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78"/>
      <c r="E826" s="5"/>
      <c r="F826" s="5"/>
      <c r="G826" s="5"/>
      <c r="H826" s="9"/>
      <c r="I826" s="10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78"/>
      <c r="E827" s="5"/>
      <c r="F827" s="5"/>
      <c r="G827" s="5"/>
      <c r="H827" s="9"/>
      <c r="I827" s="10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78"/>
      <c r="E828" s="5"/>
      <c r="F828" s="5"/>
      <c r="G828" s="5"/>
      <c r="H828" s="9"/>
      <c r="I828" s="10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78"/>
      <c r="E829" s="5"/>
      <c r="F829" s="5"/>
      <c r="G829" s="5"/>
      <c r="H829" s="9"/>
      <c r="I829" s="10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78"/>
      <c r="E830" s="5"/>
      <c r="F830" s="5"/>
      <c r="G830" s="5"/>
      <c r="H830" s="9"/>
      <c r="I830" s="10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78"/>
      <c r="E831" s="5"/>
      <c r="F831" s="5"/>
      <c r="G831" s="5"/>
      <c r="H831" s="9"/>
      <c r="I831" s="10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78"/>
      <c r="E832" s="5"/>
      <c r="F832" s="5"/>
      <c r="G832" s="5"/>
      <c r="H832" s="9"/>
      <c r="I832" s="10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78"/>
      <c r="E833" s="5"/>
      <c r="F833" s="5"/>
      <c r="G833" s="5"/>
      <c r="H833" s="9"/>
      <c r="I833" s="10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78"/>
      <c r="E834" s="5"/>
      <c r="F834" s="5"/>
      <c r="G834" s="5"/>
      <c r="H834" s="9"/>
      <c r="I834" s="10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78"/>
      <c r="E835" s="5"/>
      <c r="F835" s="5"/>
      <c r="G835" s="5"/>
      <c r="H835" s="9"/>
      <c r="I835" s="10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78"/>
      <c r="E836" s="5"/>
      <c r="F836" s="5"/>
      <c r="G836" s="5"/>
      <c r="H836" s="9"/>
      <c r="I836" s="10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78"/>
      <c r="E837" s="5"/>
      <c r="F837" s="5"/>
      <c r="G837" s="5"/>
      <c r="H837" s="9"/>
      <c r="I837" s="10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78"/>
      <c r="E838" s="5"/>
      <c r="F838" s="5"/>
      <c r="G838" s="5"/>
      <c r="H838" s="9"/>
      <c r="I838" s="10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78"/>
      <c r="E839" s="5"/>
      <c r="F839" s="5"/>
      <c r="G839" s="5"/>
      <c r="H839" s="9"/>
      <c r="I839" s="10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78"/>
      <c r="E840" s="5"/>
      <c r="F840" s="5"/>
      <c r="G840" s="5"/>
      <c r="H840" s="9"/>
      <c r="I840" s="10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78"/>
      <c r="E841" s="5"/>
      <c r="F841" s="5"/>
      <c r="G841" s="5"/>
      <c r="H841" s="9"/>
      <c r="I841" s="10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78"/>
      <c r="E842" s="5"/>
      <c r="F842" s="5"/>
      <c r="G842" s="5"/>
      <c r="H842" s="9"/>
      <c r="I842" s="10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78"/>
      <c r="E843" s="5"/>
      <c r="F843" s="5"/>
      <c r="G843" s="5"/>
      <c r="H843" s="9"/>
      <c r="I843" s="10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78"/>
      <c r="E844" s="5"/>
      <c r="F844" s="5"/>
      <c r="G844" s="5"/>
      <c r="H844" s="9"/>
      <c r="I844" s="10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78"/>
      <c r="E845" s="5"/>
      <c r="F845" s="5"/>
      <c r="G845" s="5"/>
      <c r="H845" s="9"/>
      <c r="I845" s="10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78"/>
      <c r="E846" s="5"/>
      <c r="F846" s="5"/>
      <c r="G846" s="5"/>
      <c r="H846" s="9"/>
      <c r="I846" s="10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78"/>
      <c r="E847" s="5"/>
      <c r="F847" s="5"/>
      <c r="G847" s="5"/>
      <c r="H847" s="9"/>
      <c r="I847" s="10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78"/>
      <c r="E848" s="5"/>
      <c r="F848" s="5"/>
      <c r="G848" s="5"/>
      <c r="H848" s="9"/>
      <c r="I848" s="10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78"/>
      <c r="E849" s="5"/>
      <c r="F849" s="5"/>
      <c r="G849" s="5"/>
      <c r="H849" s="9"/>
      <c r="I849" s="10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78"/>
      <c r="E850" s="5"/>
      <c r="F850" s="5"/>
      <c r="G850" s="5"/>
      <c r="H850" s="9"/>
      <c r="I850" s="10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78"/>
      <c r="E851" s="5"/>
      <c r="F851" s="5"/>
      <c r="G851" s="5"/>
      <c r="H851" s="9"/>
      <c r="I851" s="10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78"/>
      <c r="E852" s="5"/>
      <c r="F852" s="5"/>
      <c r="G852" s="5"/>
      <c r="H852" s="9"/>
      <c r="I852" s="10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78"/>
      <c r="E853" s="5"/>
      <c r="F853" s="5"/>
      <c r="G853" s="5"/>
      <c r="H853" s="9"/>
      <c r="I853" s="10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78"/>
      <c r="E854" s="5"/>
      <c r="F854" s="5"/>
      <c r="G854" s="5"/>
      <c r="H854" s="9"/>
      <c r="I854" s="10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78"/>
      <c r="E855" s="5"/>
      <c r="F855" s="5"/>
      <c r="G855" s="5"/>
      <c r="H855" s="9"/>
      <c r="I855" s="10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78"/>
      <c r="E856" s="5"/>
      <c r="F856" s="5"/>
      <c r="G856" s="5"/>
      <c r="H856" s="9"/>
      <c r="I856" s="10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78"/>
      <c r="E857" s="5"/>
      <c r="F857" s="5"/>
      <c r="G857" s="5"/>
      <c r="H857" s="9"/>
      <c r="I857" s="10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78"/>
      <c r="E858" s="5"/>
      <c r="F858" s="5"/>
      <c r="G858" s="5"/>
      <c r="H858" s="9"/>
      <c r="I858" s="10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78"/>
      <c r="E859" s="5"/>
      <c r="F859" s="5"/>
      <c r="G859" s="5"/>
      <c r="H859" s="9"/>
      <c r="I859" s="10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78"/>
      <c r="E860" s="5"/>
      <c r="F860" s="5"/>
      <c r="G860" s="5"/>
      <c r="H860" s="9"/>
      <c r="I860" s="10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78"/>
      <c r="E861" s="5"/>
      <c r="F861" s="5"/>
      <c r="G861" s="5"/>
      <c r="H861" s="9"/>
      <c r="I861" s="10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78"/>
      <c r="E862" s="5"/>
      <c r="F862" s="5"/>
      <c r="G862" s="5"/>
      <c r="H862" s="9"/>
      <c r="I862" s="10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78"/>
      <c r="E863" s="5"/>
      <c r="F863" s="5"/>
      <c r="G863" s="5"/>
      <c r="H863" s="9"/>
      <c r="I863" s="10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78"/>
      <c r="E864" s="5"/>
      <c r="F864" s="5"/>
      <c r="G864" s="5"/>
      <c r="H864" s="9"/>
      <c r="I864" s="10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78"/>
      <c r="E865" s="5"/>
      <c r="F865" s="5"/>
      <c r="G865" s="5"/>
      <c r="H865" s="9"/>
      <c r="I865" s="10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78"/>
      <c r="E866" s="5"/>
      <c r="F866" s="5"/>
      <c r="G866" s="5"/>
      <c r="H866" s="9"/>
      <c r="I866" s="10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78"/>
      <c r="E867" s="5"/>
      <c r="F867" s="5"/>
      <c r="G867" s="5"/>
      <c r="H867" s="9"/>
      <c r="I867" s="10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78"/>
      <c r="E868" s="5"/>
      <c r="F868" s="5"/>
      <c r="G868" s="5"/>
      <c r="H868" s="9"/>
      <c r="I868" s="10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78"/>
      <c r="E869" s="5"/>
      <c r="F869" s="5"/>
      <c r="G869" s="5"/>
      <c r="H869" s="9"/>
      <c r="I869" s="10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78"/>
      <c r="E870" s="5"/>
      <c r="F870" s="5"/>
      <c r="G870" s="5"/>
      <c r="H870" s="9"/>
      <c r="I870" s="10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78"/>
      <c r="E871" s="5"/>
      <c r="F871" s="5"/>
      <c r="G871" s="5"/>
      <c r="H871" s="9"/>
      <c r="I871" s="10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78"/>
      <c r="E872" s="5"/>
      <c r="F872" s="5"/>
      <c r="G872" s="5"/>
      <c r="H872" s="9"/>
      <c r="I872" s="10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78"/>
      <c r="E873" s="5"/>
      <c r="F873" s="5"/>
      <c r="G873" s="5"/>
      <c r="H873" s="9"/>
      <c r="I873" s="10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78"/>
      <c r="E874" s="5"/>
      <c r="F874" s="5"/>
      <c r="G874" s="5"/>
      <c r="H874" s="9"/>
      <c r="I874" s="10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78"/>
      <c r="E875" s="5"/>
      <c r="F875" s="5"/>
      <c r="G875" s="5"/>
      <c r="H875" s="9"/>
      <c r="I875" s="10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78"/>
      <c r="E876" s="5"/>
      <c r="F876" s="5"/>
      <c r="G876" s="5"/>
      <c r="H876" s="9"/>
      <c r="I876" s="10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78"/>
      <c r="E877" s="5"/>
      <c r="F877" s="5"/>
      <c r="G877" s="5"/>
      <c r="H877" s="9"/>
      <c r="I877" s="10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78"/>
      <c r="E878" s="5"/>
      <c r="F878" s="5"/>
      <c r="G878" s="5"/>
      <c r="H878" s="9"/>
      <c r="I878" s="10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78"/>
      <c r="E879" s="5"/>
      <c r="F879" s="5"/>
      <c r="G879" s="5"/>
      <c r="H879" s="9"/>
      <c r="I879" s="10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78"/>
      <c r="E880" s="5"/>
      <c r="F880" s="5"/>
      <c r="G880" s="5"/>
      <c r="H880" s="9"/>
      <c r="I880" s="10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78"/>
      <c r="E881" s="5"/>
      <c r="F881" s="5"/>
      <c r="G881" s="5"/>
      <c r="H881" s="9"/>
      <c r="I881" s="10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78"/>
      <c r="E882" s="5"/>
      <c r="F882" s="5"/>
      <c r="G882" s="5"/>
      <c r="H882" s="9"/>
      <c r="I882" s="10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78"/>
      <c r="E883" s="5"/>
      <c r="F883" s="5"/>
      <c r="G883" s="5"/>
      <c r="H883" s="9"/>
      <c r="I883" s="10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78"/>
      <c r="E884" s="5"/>
      <c r="F884" s="5"/>
      <c r="G884" s="5"/>
      <c r="H884" s="9"/>
      <c r="I884" s="10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78"/>
      <c r="E885" s="5"/>
      <c r="F885" s="5"/>
      <c r="G885" s="5"/>
      <c r="H885" s="9"/>
      <c r="I885" s="10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78"/>
      <c r="E886" s="5"/>
      <c r="F886" s="5"/>
      <c r="G886" s="5"/>
      <c r="H886" s="9"/>
      <c r="I886" s="10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78"/>
      <c r="E887" s="5"/>
      <c r="F887" s="5"/>
      <c r="G887" s="5"/>
      <c r="H887" s="9"/>
      <c r="I887" s="10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78"/>
      <c r="E888" s="5"/>
      <c r="F888" s="5"/>
      <c r="G888" s="5"/>
      <c r="H888" s="9"/>
      <c r="I888" s="10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78"/>
      <c r="E889" s="5"/>
      <c r="F889" s="5"/>
      <c r="G889" s="5"/>
      <c r="H889" s="9"/>
      <c r="I889" s="10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78"/>
      <c r="E890" s="5"/>
      <c r="F890" s="5"/>
      <c r="G890" s="5"/>
      <c r="H890" s="9"/>
      <c r="I890" s="10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78"/>
      <c r="E891" s="5"/>
      <c r="F891" s="5"/>
      <c r="G891" s="5"/>
      <c r="H891" s="9"/>
      <c r="I891" s="10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78"/>
      <c r="E892" s="5"/>
      <c r="F892" s="5"/>
      <c r="G892" s="5"/>
      <c r="H892" s="9"/>
      <c r="I892" s="10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78"/>
      <c r="E893" s="5"/>
      <c r="F893" s="5"/>
      <c r="G893" s="5"/>
      <c r="H893" s="9"/>
      <c r="I893" s="10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78"/>
      <c r="E894" s="5"/>
      <c r="F894" s="5"/>
      <c r="G894" s="5"/>
      <c r="H894" s="9"/>
      <c r="I894" s="10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78"/>
      <c r="E895" s="5"/>
      <c r="F895" s="5"/>
      <c r="G895" s="5"/>
      <c r="H895" s="9"/>
      <c r="I895" s="10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78"/>
      <c r="E896" s="5"/>
      <c r="F896" s="5"/>
      <c r="G896" s="5"/>
      <c r="H896" s="9"/>
      <c r="I896" s="10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78"/>
      <c r="E897" s="5"/>
      <c r="F897" s="5"/>
      <c r="G897" s="5"/>
      <c r="H897" s="9"/>
      <c r="I897" s="10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78"/>
      <c r="E898" s="5"/>
      <c r="F898" s="5"/>
      <c r="G898" s="5"/>
      <c r="H898" s="9"/>
      <c r="I898" s="10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78"/>
      <c r="E899" s="5"/>
      <c r="F899" s="5"/>
      <c r="G899" s="5"/>
      <c r="H899" s="9"/>
      <c r="I899" s="10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78"/>
      <c r="E900" s="5"/>
      <c r="F900" s="5"/>
      <c r="G900" s="5"/>
      <c r="H900" s="9"/>
      <c r="I900" s="10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78"/>
      <c r="E901" s="5"/>
      <c r="F901" s="5"/>
      <c r="G901" s="5"/>
      <c r="H901" s="9"/>
      <c r="I901" s="10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78"/>
      <c r="E902" s="5"/>
      <c r="F902" s="5"/>
      <c r="G902" s="5"/>
      <c r="H902" s="9"/>
      <c r="I902" s="10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78"/>
      <c r="E903" s="5"/>
      <c r="F903" s="5"/>
      <c r="G903" s="5"/>
      <c r="H903" s="9"/>
      <c r="I903" s="10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78"/>
      <c r="E904" s="5"/>
      <c r="F904" s="5"/>
      <c r="G904" s="5"/>
      <c r="H904" s="9"/>
      <c r="I904" s="10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78"/>
      <c r="E905" s="5"/>
      <c r="F905" s="5"/>
      <c r="G905" s="5"/>
      <c r="H905" s="9"/>
      <c r="I905" s="10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78"/>
      <c r="E906" s="5"/>
      <c r="F906" s="5"/>
      <c r="G906" s="5"/>
      <c r="H906" s="9"/>
      <c r="I906" s="10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78"/>
      <c r="E907" s="5"/>
      <c r="F907" s="5"/>
      <c r="G907" s="5"/>
      <c r="H907" s="9"/>
      <c r="I907" s="10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78"/>
      <c r="E908" s="5"/>
      <c r="F908" s="5"/>
      <c r="G908" s="5"/>
      <c r="H908" s="9"/>
      <c r="I908" s="10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78"/>
      <c r="E909" s="5"/>
      <c r="F909" s="5"/>
      <c r="G909" s="5"/>
      <c r="H909" s="9"/>
      <c r="I909" s="10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78"/>
      <c r="E910" s="5"/>
      <c r="F910" s="5"/>
      <c r="G910" s="5"/>
      <c r="H910" s="9"/>
      <c r="I910" s="10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78"/>
      <c r="E911" s="5"/>
      <c r="F911" s="5"/>
      <c r="G911" s="5"/>
      <c r="H911" s="9"/>
      <c r="I911" s="10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78"/>
      <c r="E912" s="5"/>
      <c r="F912" s="5"/>
      <c r="G912" s="5"/>
      <c r="H912" s="9"/>
      <c r="I912" s="10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78"/>
      <c r="E913" s="5"/>
      <c r="F913" s="5"/>
      <c r="G913" s="5"/>
      <c r="H913" s="9"/>
      <c r="I913" s="10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78"/>
      <c r="E914" s="5"/>
      <c r="F914" s="5"/>
      <c r="G914" s="5"/>
      <c r="H914" s="9"/>
      <c r="I914" s="10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78"/>
      <c r="E915" s="5"/>
      <c r="F915" s="5"/>
      <c r="G915" s="5"/>
      <c r="H915" s="9"/>
      <c r="I915" s="10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78"/>
      <c r="E916" s="5"/>
      <c r="F916" s="5"/>
      <c r="G916" s="5"/>
      <c r="H916" s="9"/>
      <c r="I916" s="10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78"/>
      <c r="E917" s="5"/>
      <c r="F917" s="5"/>
      <c r="G917" s="5"/>
      <c r="H917" s="9"/>
      <c r="I917" s="10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78"/>
      <c r="E918" s="5"/>
      <c r="F918" s="5"/>
      <c r="G918" s="5"/>
      <c r="H918" s="9"/>
      <c r="I918" s="10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78"/>
      <c r="E919" s="5"/>
      <c r="F919" s="5"/>
      <c r="G919" s="5"/>
      <c r="H919" s="9"/>
      <c r="I919" s="10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78"/>
      <c r="E920" s="5"/>
      <c r="F920" s="5"/>
      <c r="G920" s="5"/>
      <c r="H920" s="9"/>
      <c r="I920" s="10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78"/>
      <c r="E921" s="5"/>
      <c r="F921" s="5"/>
      <c r="G921" s="5"/>
      <c r="H921" s="9"/>
      <c r="I921" s="10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78"/>
      <c r="E922" s="5"/>
      <c r="F922" s="5"/>
      <c r="G922" s="5"/>
      <c r="H922" s="9"/>
      <c r="I922" s="10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78"/>
      <c r="E923" s="5"/>
      <c r="F923" s="5"/>
      <c r="G923" s="5"/>
      <c r="H923" s="9"/>
      <c r="I923" s="10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78"/>
      <c r="E924" s="5"/>
      <c r="F924" s="5"/>
      <c r="G924" s="5"/>
      <c r="H924" s="9"/>
      <c r="I924" s="10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78"/>
      <c r="E925" s="5"/>
      <c r="F925" s="5"/>
      <c r="G925" s="5"/>
      <c r="H925" s="9"/>
      <c r="I925" s="10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78"/>
      <c r="E926" s="5"/>
      <c r="F926" s="5"/>
      <c r="G926" s="5"/>
      <c r="H926" s="9"/>
      <c r="I926" s="10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78"/>
      <c r="E927" s="5"/>
      <c r="F927" s="5"/>
      <c r="G927" s="5"/>
      <c r="H927" s="9"/>
      <c r="I927" s="10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78"/>
      <c r="E928" s="5"/>
      <c r="F928" s="5"/>
      <c r="G928" s="5"/>
      <c r="H928" s="9"/>
      <c r="I928" s="10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78"/>
      <c r="E929" s="5"/>
      <c r="F929" s="5"/>
      <c r="G929" s="5"/>
      <c r="H929" s="9"/>
      <c r="I929" s="10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78"/>
      <c r="E930" s="5"/>
      <c r="F930" s="5"/>
      <c r="G930" s="5"/>
      <c r="H930" s="9"/>
      <c r="I930" s="10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78"/>
      <c r="E931" s="5"/>
      <c r="F931" s="5"/>
      <c r="G931" s="5"/>
      <c r="H931" s="9"/>
      <c r="I931" s="10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78"/>
      <c r="E932" s="5"/>
      <c r="F932" s="5"/>
      <c r="G932" s="5"/>
      <c r="H932" s="9"/>
      <c r="I932" s="10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78"/>
      <c r="E933" s="5"/>
      <c r="F933" s="5"/>
      <c r="G933" s="5"/>
      <c r="H933" s="9"/>
      <c r="I933" s="10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78"/>
      <c r="E934" s="5"/>
      <c r="F934" s="5"/>
      <c r="G934" s="5"/>
      <c r="H934" s="9"/>
      <c r="I934" s="10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78"/>
      <c r="E935" s="5"/>
      <c r="F935" s="5"/>
      <c r="G935" s="5"/>
      <c r="H935" s="9"/>
      <c r="I935" s="10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78"/>
      <c r="E936" s="5"/>
      <c r="F936" s="5"/>
      <c r="G936" s="5"/>
      <c r="H936" s="9"/>
      <c r="I936" s="10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78"/>
      <c r="E937" s="5"/>
      <c r="F937" s="5"/>
      <c r="G937" s="5"/>
      <c r="H937" s="9"/>
      <c r="I937" s="10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78"/>
      <c r="E938" s="5"/>
      <c r="F938" s="5"/>
      <c r="G938" s="5"/>
      <c r="H938" s="9"/>
      <c r="I938" s="10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78"/>
      <c r="E939" s="5"/>
      <c r="F939" s="5"/>
      <c r="G939" s="5"/>
      <c r="H939" s="9"/>
      <c r="I939" s="10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78"/>
      <c r="E940" s="5"/>
      <c r="F940" s="5"/>
      <c r="G940" s="5"/>
      <c r="H940" s="9"/>
      <c r="I940" s="10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78"/>
      <c r="E941" s="5"/>
      <c r="F941" s="5"/>
      <c r="G941" s="5"/>
      <c r="H941" s="9"/>
      <c r="I941" s="10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78"/>
      <c r="E942" s="5"/>
      <c r="F942" s="5"/>
      <c r="G942" s="5"/>
      <c r="H942" s="9"/>
      <c r="I942" s="10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78"/>
      <c r="E943" s="5"/>
      <c r="F943" s="5"/>
      <c r="G943" s="5"/>
      <c r="H943" s="9"/>
      <c r="I943" s="10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78"/>
      <c r="E944" s="5"/>
      <c r="F944" s="5"/>
      <c r="G944" s="5"/>
      <c r="H944" s="9"/>
      <c r="I944" s="10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78"/>
      <c r="E945" s="5"/>
      <c r="F945" s="5"/>
      <c r="G945" s="5"/>
      <c r="H945" s="9"/>
      <c r="I945" s="10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78"/>
      <c r="E946" s="5"/>
      <c r="F946" s="5"/>
      <c r="G946" s="5"/>
      <c r="H946" s="9"/>
      <c r="I946" s="10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78"/>
      <c r="E947" s="5"/>
      <c r="F947" s="5"/>
      <c r="G947" s="5"/>
      <c r="H947" s="9"/>
      <c r="I947" s="10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78"/>
      <c r="E948" s="5"/>
      <c r="F948" s="5"/>
      <c r="G948" s="5"/>
      <c r="H948" s="9"/>
      <c r="I948" s="10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78"/>
      <c r="E949" s="5"/>
      <c r="F949" s="5"/>
      <c r="G949" s="5"/>
      <c r="H949" s="9"/>
      <c r="I949" s="10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78"/>
      <c r="E950" s="5"/>
      <c r="F950" s="5"/>
      <c r="G950" s="5"/>
      <c r="H950" s="9"/>
      <c r="I950" s="10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78"/>
      <c r="E951" s="5"/>
      <c r="F951" s="5"/>
      <c r="G951" s="5"/>
      <c r="H951" s="9"/>
      <c r="I951" s="10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78"/>
      <c r="E952" s="5"/>
      <c r="F952" s="5"/>
      <c r="G952" s="5"/>
      <c r="H952" s="9"/>
      <c r="I952" s="10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78"/>
      <c r="E953" s="5"/>
      <c r="F953" s="5"/>
      <c r="G953" s="5"/>
      <c r="H953" s="9"/>
      <c r="I953" s="10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78"/>
      <c r="E954" s="5"/>
      <c r="F954" s="5"/>
      <c r="G954" s="5"/>
      <c r="H954" s="9"/>
      <c r="I954" s="10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78"/>
      <c r="E955" s="5"/>
      <c r="F955" s="5"/>
      <c r="G955" s="5"/>
      <c r="H955" s="9"/>
      <c r="I955" s="10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78"/>
      <c r="E956" s="5"/>
      <c r="F956" s="5"/>
      <c r="G956" s="5"/>
      <c r="H956" s="9"/>
      <c r="I956" s="10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78"/>
      <c r="E957" s="5"/>
      <c r="F957" s="5"/>
      <c r="G957" s="5"/>
      <c r="H957" s="9"/>
      <c r="I957" s="10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78"/>
      <c r="E958" s="5"/>
      <c r="F958" s="5"/>
      <c r="G958" s="5"/>
      <c r="H958" s="9"/>
      <c r="I958" s="10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78"/>
      <c r="E959" s="5"/>
      <c r="F959" s="5"/>
      <c r="G959" s="5"/>
      <c r="H959" s="9"/>
      <c r="I959" s="10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78"/>
      <c r="E960" s="5"/>
      <c r="F960" s="5"/>
      <c r="G960" s="5"/>
      <c r="H960" s="9"/>
      <c r="I960" s="10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78"/>
      <c r="E961" s="5"/>
      <c r="F961" s="5"/>
      <c r="G961" s="5"/>
      <c r="H961" s="9"/>
      <c r="I961" s="10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78"/>
      <c r="E962" s="5"/>
      <c r="F962" s="5"/>
      <c r="G962" s="5"/>
      <c r="H962" s="9"/>
      <c r="I962" s="10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78"/>
      <c r="E963" s="5"/>
      <c r="F963" s="5"/>
      <c r="G963" s="5"/>
      <c r="H963" s="9"/>
      <c r="I963" s="10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78"/>
      <c r="E964" s="5"/>
      <c r="F964" s="5"/>
      <c r="G964" s="5"/>
      <c r="H964" s="9"/>
      <c r="I964" s="10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78"/>
      <c r="E965" s="5"/>
      <c r="F965" s="5"/>
      <c r="G965" s="5"/>
      <c r="H965" s="9"/>
      <c r="I965" s="10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78"/>
      <c r="E966" s="5"/>
      <c r="F966" s="5"/>
      <c r="G966" s="5"/>
      <c r="H966" s="9"/>
      <c r="I966" s="10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78"/>
      <c r="E967" s="5"/>
      <c r="F967" s="5"/>
      <c r="G967" s="5"/>
      <c r="H967" s="9"/>
      <c r="I967" s="10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78"/>
      <c r="E968" s="5"/>
      <c r="F968" s="5"/>
      <c r="G968" s="5"/>
      <c r="H968" s="9"/>
      <c r="I968" s="10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78"/>
      <c r="E969" s="5"/>
      <c r="F969" s="5"/>
      <c r="G969" s="5"/>
      <c r="H969" s="9"/>
      <c r="I969" s="10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78"/>
      <c r="E970" s="5"/>
      <c r="F970" s="5"/>
      <c r="G970" s="5"/>
      <c r="H970" s="9"/>
      <c r="I970" s="10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78"/>
      <c r="E971" s="5"/>
      <c r="F971" s="5"/>
      <c r="G971" s="5"/>
      <c r="H971" s="9"/>
      <c r="I971" s="10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78"/>
      <c r="E972" s="5"/>
      <c r="F972" s="5"/>
      <c r="G972" s="5"/>
      <c r="H972" s="9"/>
      <c r="I972" s="10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78"/>
      <c r="E973" s="5"/>
      <c r="F973" s="5"/>
      <c r="G973" s="5"/>
      <c r="H973" s="9"/>
      <c r="I973" s="10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78"/>
      <c r="E974" s="5"/>
      <c r="F974" s="5"/>
      <c r="G974" s="5"/>
      <c r="H974" s="9"/>
      <c r="I974" s="10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78"/>
      <c r="E975" s="5"/>
      <c r="F975" s="5"/>
      <c r="G975" s="5"/>
      <c r="H975" s="9"/>
      <c r="I975" s="10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78"/>
      <c r="E976" s="5"/>
      <c r="F976" s="5"/>
      <c r="G976" s="5"/>
      <c r="H976" s="9"/>
      <c r="I976" s="10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78"/>
      <c r="E977" s="5"/>
      <c r="F977" s="5"/>
      <c r="G977" s="5"/>
      <c r="H977" s="9"/>
      <c r="I977" s="10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78"/>
      <c r="E978" s="5"/>
      <c r="F978" s="5"/>
      <c r="G978" s="5"/>
      <c r="H978" s="9"/>
      <c r="I978" s="10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78"/>
      <c r="E979" s="5"/>
      <c r="F979" s="5"/>
      <c r="G979" s="5"/>
      <c r="H979" s="9"/>
      <c r="I979" s="10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78"/>
      <c r="E980" s="5"/>
      <c r="F980" s="5"/>
      <c r="G980" s="5"/>
      <c r="H980" s="9"/>
      <c r="I980" s="10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78"/>
      <c r="E981" s="5"/>
      <c r="F981" s="5"/>
      <c r="G981" s="5"/>
      <c r="H981" s="9"/>
      <c r="I981" s="10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78"/>
      <c r="E982" s="5"/>
      <c r="F982" s="5"/>
      <c r="G982" s="5"/>
      <c r="H982" s="9"/>
      <c r="I982" s="10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78"/>
      <c r="E983" s="5"/>
      <c r="F983" s="5"/>
      <c r="G983" s="5"/>
      <c r="H983" s="9"/>
      <c r="I983" s="10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78"/>
      <c r="E984" s="5"/>
      <c r="F984" s="5"/>
      <c r="G984" s="5"/>
      <c r="H984" s="9"/>
      <c r="I984" s="10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78"/>
      <c r="E985" s="5"/>
      <c r="F985" s="5"/>
      <c r="G985" s="5"/>
      <c r="H985" s="9"/>
      <c r="I985" s="10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78"/>
      <c r="E986" s="5"/>
      <c r="F986" s="5"/>
      <c r="G986" s="5"/>
      <c r="H986" s="9"/>
      <c r="I986" s="10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78"/>
      <c r="E987" s="5"/>
      <c r="F987" s="5"/>
      <c r="G987" s="5"/>
      <c r="H987" s="9"/>
      <c r="I987" s="10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78"/>
      <c r="E988" s="5"/>
      <c r="F988" s="5"/>
      <c r="G988" s="5"/>
      <c r="H988" s="9"/>
      <c r="I988" s="10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78"/>
      <c r="E989" s="5"/>
      <c r="F989" s="5"/>
      <c r="G989" s="5"/>
      <c r="H989" s="9"/>
      <c r="I989" s="10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78"/>
      <c r="E990" s="5"/>
      <c r="F990" s="5"/>
      <c r="G990" s="5"/>
      <c r="H990" s="9"/>
      <c r="I990" s="10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78"/>
      <c r="E991" s="5"/>
      <c r="F991" s="5"/>
      <c r="G991" s="5"/>
      <c r="H991" s="9"/>
      <c r="I991" s="10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78"/>
      <c r="E992" s="5"/>
      <c r="F992" s="5"/>
      <c r="G992" s="5"/>
      <c r="H992" s="9"/>
      <c r="I992" s="10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78"/>
      <c r="E993" s="5"/>
      <c r="F993" s="5"/>
      <c r="G993" s="5"/>
      <c r="H993" s="9"/>
      <c r="I993" s="10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78"/>
      <c r="E994" s="5"/>
      <c r="F994" s="5"/>
      <c r="G994" s="5"/>
      <c r="H994" s="9"/>
      <c r="I994" s="10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78"/>
      <c r="E995" s="5"/>
      <c r="F995" s="5"/>
      <c r="G995" s="5"/>
      <c r="H995" s="9"/>
      <c r="I995" s="10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78"/>
      <c r="E996" s="5"/>
      <c r="F996" s="5"/>
      <c r="G996" s="5"/>
      <c r="H996" s="9"/>
      <c r="I996" s="10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78"/>
      <c r="E997" s="5"/>
      <c r="F997" s="5"/>
      <c r="G997" s="5"/>
      <c r="H997" s="9"/>
      <c r="I997" s="10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78"/>
      <c r="E998" s="5"/>
      <c r="F998" s="5"/>
      <c r="G998" s="5"/>
      <c r="H998" s="9"/>
      <c r="I998" s="10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78"/>
      <c r="E999" s="5"/>
      <c r="F999" s="5"/>
      <c r="G999" s="5"/>
      <c r="H999" s="9"/>
      <c r="I999" s="10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78"/>
      <c r="E1000" s="5"/>
      <c r="F1000" s="5"/>
      <c r="G1000" s="5"/>
      <c r="H1000" s="9"/>
      <c r="I1000" s="10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78"/>
      <c r="E1001" s="5"/>
      <c r="F1001" s="5"/>
      <c r="G1001" s="5"/>
      <c r="H1001" s="9"/>
      <c r="I1001" s="10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78"/>
      <c r="E1002" s="5"/>
      <c r="F1002" s="5"/>
      <c r="G1002" s="5"/>
      <c r="H1002" s="9"/>
      <c r="I1002" s="10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9"/>
      <c r="I1003" s="10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9"/>
      <c r="I1004" s="10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5.5"/>
  </cols>
  <sheetData>
    <row r="1">
      <c r="C1" s="4">
        <v>120843.0</v>
      </c>
      <c r="D1" s="1" t="s">
        <v>27</v>
      </c>
      <c r="H1" s="1" t="s">
        <v>28</v>
      </c>
    </row>
    <row r="3">
      <c r="A3" s="62" t="s">
        <v>0</v>
      </c>
      <c r="B3" s="62" t="s">
        <v>29</v>
      </c>
      <c r="C3" s="62" t="s">
        <v>14</v>
      </c>
      <c r="D3" s="22" t="s">
        <v>16</v>
      </c>
      <c r="E3" s="23" t="s">
        <v>17</v>
      </c>
      <c r="F3" s="22" t="s">
        <v>18</v>
      </c>
      <c r="G3" s="26" t="s">
        <v>19</v>
      </c>
      <c r="H3" s="29" t="s">
        <v>21</v>
      </c>
      <c r="I3" s="31" t="s">
        <v>22</v>
      </c>
    </row>
    <row r="4">
      <c r="A4" s="13">
        <v>43313.0</v>
      </c>
      <c r="B4" s="11">
        <v>27.7296</v>
      </c>
      <c r="D4" s="42">
        <v>11346.2</v>
      </c>
      <c r="E4" s="40"/>
      <c r="F4" s="43">
        <v>7.701</v>
      </c>
      <c r="G4" s="49">
        <f t="shared" ref="G4:G245" si="1">F4/100</f>
        <v>0.07701</v>
      </c>
      <c r="H4" s="50">
        <f t="shared" ref="H4:H245" si="2">(1+G4)^(1/365) - 1</f>
        <v>0.0002032773243</v>
      </c>
      <c r="I4" s="51"/>
    </row>
    <row r="5">
      <c r="A5" s="13">
        <v>43314.0</v>
      </c>
      <c r="B5" s="11">
        <v>27.7602</v>
      </c>
      <c r="C5" s="65">
        <f t="shared" ref="C5:C245" si="3">(B5-B4)/B4</f>
        <v>0.001103513935</v>
      </c>
      <c r="D5" s="42">
        <v>11244.7</v>
      </c>
      <c r="E5" s="40">
        <f t="shared" ref="E5:E245" si="4">(D5-D4)/D4</f>
        <v>-0.008945726322</v>
      </c>
      <c r="F5" s="43">
        <v>7.721</v>
      </c>
      <c r="G5" s="49">
        <f t="shared" si="1"/>
        <v>0.07721</v>
      </c>
      <c r="H5" s="50">
        <f t="shared" si="2"/>
        <v>0.0002037861458</v>
      </c>
      <c r="I5" s="51">
        <f t="shared" ref="I5:I245" si="5">(H5-H4)/H4</f>
        <v>0.002503090332</v>
      </c>
    </row>
    <row r="6">
      <c r="A6" s="13">
        <v>43315.0</v>
      </c>
      <c r="B6" s="11">
        <v>27.8976</v>
      </c>
      <c r="C6" s="65">
        <f t="shared" si="3"/>
        <v>0.004949532064</v>
      </c>
      <c r="D6" s="42">
        <v>11360.8</v>
      </c>
      <c r="E6" s="40">
        <f t="shared" si="4"/>
        <v>0.01032486416</v>
      </c>
      <c r="F6" s="43">
        <v>7.763</v>
      </c>
      <c r="G6" s="49">
        <f t="shared" si="1"/>
        <v>0.07763</v>
      </c>
      <c r="H6" s="50">
        <f t="shared" si="2"/>
        <v>0.0002048543644</v>
      </c>
      <c r="I6" s="51">
        <f t="shared" si="5"/>
        <v>0.00524186062</v>
      </c>
    </row>
    <row r="7">
      <c r="A7" s="13">
        <v>43318.0</v>
      </c>
      <c r="B7" s="11">
        <v>27.7802</v>
      </c>
      <c r="C7" s="65">
        <f t="shared" si="3"/>
        <v>-0.004208247304</v>
      </c>
      <c r="D7" s="42">
        <v>11387.1</v>
      </c>
      <c r="E7" s="40">
        <f t="shared" si="4"/>
        <v>0.002314977818</v>
      </c>
      <c r="F7" s="43">
        <v>7.768</v>
      </c>
      <c r="G7" s="49">
        <f t="shared" si="1"/>
        <v>0.07768</v>
      </c>
      <c r="H7" s="50">
        <f t="shared" si="2"/>
        <v>0.0002049815056</v>
      </c>
      <c r="I7" s="51">
        <f t="shared" si="5"/>
        <v>0.0006206419915</v>
      </c>
    </row>
    <row r="8">
      <c r="A8" s="13">
        <v>43319.0</v>
      </c>
      <c r="B8" s="11">
        <v>27.6703</v>
      </c>
      <c r="C8" s="65">
        <f t="shared" si="3"/>
        <v>-0.003956055032</v>
      </c>
      <c r="D8" s="42">
        <v>11389.45</v>
      </c>
      <c r="E8" s="40">
        <f t="shared" si="4"/>
        <v>0.0002063738792</v>
      </c>
      <c r="F8" s="43">
        <v>7.786</v>
      </c>
      <c r="G8" s="49">
        <f t="shared" si="1"/>
        <v>0.07786</v>
      </c>
      <c r="H8" s="50">
        <f t="shared" si="2"/>
        <v>0.0002054391653</v>
      </c>
      <c r="I8" s="51">
        <f t="shared" si="5"/>
        <v>0.002232687725</v>
      </c>
    </row>
    <row r="9">
      <c r="A9" s="13">
        <v>43320.0</v>
      </c>
      <c r="B9" s="11">
        <v>27.6615</v>
      </c>
      <c r="C9" s="65">
        <f t="shared" si="3"/>
        <v>-0.0003180305237</v>
      </c>
      <c r="D9" s="42">
        <v>11450.0</v>
      </c>
      <c r="E9" s="40">
        <f t="shared" si="4"/>
        <v>0.00531632344</v>
      </c>
      <c r="F9" s="43">
        <v>7.782</v>
      </c>
      <c r="G9" s="49">
        <f t="shared" si="1"/>
        <v>0.07782</v>
      </c>
      <c r="H9" s="50">
        <f t="shared" si="2"/>
        <v>0.0002053374697</v>
      </c>
      <c r="I9" s="51">
        <f t="shared" si="5"/>
        <v>-0.0004950154771</v>
      </c>
    </row>
    <row r="10">
      <c r="A10" s="13">
        <v>43321.0</v>
      </c>
      <c r="B10" s="11">
        <v>27.7544</v>
      </c>
      <c r="C10" s="65">
        <f t="shared" si="3"/>
        <v>0.003358458507</v>
      </c>
      <c r="D10" s="42">
        <v>11470.7</v>
      </c>
      <c r="E10" s="40">
        <f t="shared" si="4"/>
        <v>0.001807860262</v>
      </c>
      <c r="F10" s="43">
        <v>7.745</v>
      </c>
      <c r="G10" s="49">
        <f t="shared" si="1"/>
        <v>0.07745</v>
      </c>
      <c r="H10" s="50">
        <f t="shared" si="2"/>
        <v>0.0002043966073</v>
      </c>
      <c r="I10" s="51">
        <f t="shared" si="5"/>
        <v>-0.004582030051</v>
      </c>
    </row>
    <row r="11">
      <c r="A11" s="7">
        <v>43322.0</v>
      </c>
      <c r="B11" s="11">
        <v>27.467</v>
      </c>
      <c r="C11" s="65">
        <f t="shared" si="3"/>
        <v>-0.01035511486</v>
      </c>
      <c r="D11" s="42">
        <v>11429.5</v>
      </c>
      <c r="E11" s="40">
        <f t="shared" si="4"/>
        <v>-0.003591759875</v>
      </c>
      <c r="F11" s="43">
        <v>7.754</v>
      </c>
      <c r="G11" s="49">
        <f t="shared" si="1"/>
        <v>0.07754</v>
      </c>
      <c r="H11" s="50">
        <f t="shared" si="2"/>
        <v>0.0002046254953</v>
      </c>
      <c r="I11" s="51">
        <f t="shared" si="5"/>
        <v>0.001119823322</v>
      </c>
    </row>
    <row r="12">
      <c r="A12" s="7">
        <v>43325.0</v>
      </c>
      <c r="B12" s="11">
        <v>27.4423</v>
      </c>
      <c r="C12" s="65">
        <f t="shared" si="3"/>
        <v>-0.0008992609313</v>
      </c>
      <c r="D12" s="42">
        <v>11355.75</v>
      </c>
      <c r="E12" s="40">
        <f t="shared" si="4"/>
        <v>-0.006452600726</v>
      </c>
      <c r="F12" s="43">
        <v>7.823</v>
      </c>
      <c r="G12" s="49">
        <f t="shared" si="1"/>
        <v>0.07823</v>
      </c>
      <c r="H12" s="50">
        <f t="shared" si="2"/>
        <v>0.0002063796709</v>
      </c>
      <c r="I12" s="51">
        <f t="shared" si="5"/>
        <v>0.008572614779</v>
      </c>
    </row>
    <row r="13">
      <c r="A13" s="7">
        <v>43326.0</v>
      </c>
      <c r="B13" s="11">
        <v>27.4597</v>
      </c>
      <c r="C13" s="65">
        <f t="shared" si="3"/>
        <v>0.0006340576409</v>
      </c>
      <c r="D13" s="42">
        <v>11435.1</v>
      </c>
      <c r="E13" s="40">
        <f t="shared" si="4"/>
        <v>0.006987649429</v>
      </c>
      <c r="F13" s="43">
        <v>7.818</v>
      </c>
      <c r="G13" s="49">
        <f t="shared" si="1"/>
        <v>0.07818</v>
      </c>
      <c r="H13" s="50">
        <f t="shared" si="2"/>
        <v>0.0002062525943</v>
      </c>
      <c r="I13" s="51">
        <f t="shared" si="5"/>
        <v>-0.0006157415713</v>
      </c>
    </row>
    <row r="14">
      <c r="A14" s="7">
        <v>43328.0</v>
      </c>
      <c r="B14" s="11">
        <v>27.1968</v>
      </c>
      <c r="C14" s="65">
        <f t="shared" si="3"/>
        <v>-0.009574030306</v>
      </c>
      <c r="D14" s="42">
        <v>11385.05</v>
      </c>
      <c r="E14" s="40">
        <f t="shared" si="4"/>
        <v>-0.00437687471</v>
      </c>
      <c r="F14" s="43">
        <v>7.861</v>
      </c>
      <c r="G14" s="49">
        <f t="shared" si="1"/>
        <v>0.07861</v>
      </c>
      <c r="H14" s="50">
        <f t="shared" si="2"/>
        <v>0.0002073452606</v>
      </c>
      <c r="I14" s="51">
        <f t="shared" si="5"/>
        <v>0.005297709177</v>
      </c>
    </row>
    <row r="15">
      <c r="A15" s="7">
        <v>43329.0</v>
      </c>
      <c r="B15" s="11">
        <v>27.101</v>
      </c>
      <c r="C15" s="65">
        <f t="shared" si="3"/>
        <v>-0.003522473232</v>
      </c>
      <c r="D15" s="42">
        <v>11470.75</v>
      </c>
      <c r="E15" s="40">
        <f t="shared" si="4"/>
        <v>0.007527415339</v>
      </c>
      <c r="F15" s="43">
        <v>7.838</v>
      </c>
      <c r="G15" s="49">
        <f t="shared" si="1"/>
        <v>0.07838</v>
      </c>
      <c r="H15" s="50">
        <f t="shared" si="2"/>
        <v>0.0002067608653</v>
      </c>
      <c r="I15" s="51">
        <f t="shared" si="5"/>
        <v>-0.002818464941</v>
      </c>
    </row>
    <row r="16">
      <c r="A16" s="7">
        <v>43332.0</v>
      </c>
      <c r="B16" s="11">
        <v>27.4608</v>
      </c>
      <c r="C16" s="65">
        <f t="shared" si="3"/>
        <v>0.01327626287</v>
      </c>
      <c r="D16" s="42">
        <v>11551.75</v>
      </c>
      <c r="E16" s="40">
        <f t="shared" si="4"/>
        <v>0.007061438877</v>
      </c>
      <c r="F16" s="43">
        <v>7.827</v>
      </c>
      <c r="G16" s="49">
        <f t="shared" si="1"/>
        <v>0.07827</v>
      </c>
      <c r="H16" s="50">
        <f t="shared" si="2"/>
        <v>0.0002064813279</v>
      </c>
      <c r="I16" s="51">
        <f t="shared" si="5"/>
        <v>-0.001351983936</v>
      </c>
    </row>
    <row r="17">
      <c r="A17" s="7">
        <v>43333.0</v>
      </c>
      <c r="B17" s="11">
        <v>27.6162</v>
      </c>
      <c r="C17" s="65">
        <f t="shared" si="3"/>
        <v>0.005658975704</v>
      </c>
      <c r="D17" s="42">
        <v>11570.9</v>
      </c>
      <c r="E17" s="40">
        <f t="shared" si="4"/>
        <v>0.001657757483</v>
      </c>
      <c r="F17" s="43">
        <v>7.879</v>
      </c>
      <c r="G17" s="49">
        <f t="shared" si="1"/>
        <v>0.07879</v>
      </c>
      <c r="H17" s="50">
        <f t="shared" si="2"/>
        <v>0.0002078025268</v>
      </c>
      <c r="I17" s="51">
        <f t="shared" si="5"/>
        <v>0.006398636287</v>
      </c>
    </row>
    <row r="18">
      <c r="A18" s="7">
        <v>43335.0</v>
      </c>
      <c r="B18" s="11">
        <v>27.5404</v>
      </c>
      <c r="C18" s="65">
        <f t="shared" si="3"/>
        <v>-0.002744765753</v>
      </c>
      <c r="D18" s="42">
        <v>11582.75</v>
      </c>
      <c r="E18" s="40">
        <f t="shared" si="4"/>
        <v>0.001024120855</v>
      </c>
      <c r="F18" s="43">
        <v>7.871</v>
      </c>
      <c r="G18" s="49">
        <f t="shared" si="1"/>
        <v>0.07871</v>
      </c>
      <c r="H18" s="50">
        <f t="shared" si="2"/>
        <v>0.0002075993068</v>
      </c>
      <c r="I18" s="51">
        <f t="shared" si="5"/>
        <v>-0.0009779478224</v>
      </c>
    </row>
    <row r="19">
      <c r="A19" s="7">
        <v>43336.0</v>
      </c>
      <c r="B19" s="11">
        <v>27.4766</v>
      </c>
      <c r="C19" s="65">
        <f t="shared" si="3"/>
        <v>-0.002316596709</v>
      </c>
      <c r="D19" s="42">
        <v>11557.1</v>
      </c>
      <c r="E19" s="40">
        <f t="shared" si="4"/>
        <v>-0.002214500011</v>
      </c>
      <c r="F19" s="43">
        <v>7.894</v>
      </c>
      <c r="G19" s="49">
        <f t="shared" si="1"/>
        <v>0.07894</v>
      </c>
      <c r="H19" s="50">
        <f t="shared" si="2"/>
        <v>0.0002081835239</v>
      </c>
      <c r="I19" s="51">
        <f t="shared" si="5"/>
        <v>0.00281415717</v>
      </c>
    </row>
    <row r="20">
      <c r="A20" s="7">
        <v>43339.0</v>
      </c>
      <c r="B20" s="11">
        <v>27.6685</v>
      </c>
      <c r="C20" s="65">
        <f t="shared" si="3"/>
        <v>0.006984124673</v>
      </c>
      <c r="D20" s="42">
        <v>11691.95</v>
      </c>
      <c r="E20" s="40">
        <f t="shared" si="4"/>
        <v>0.01166815205</v>
      </c>
      <c r="F20" s="43">
        <v>7.895</v>
      </c>
      <c r="G20" s="49">
        <f t="shared" si="1"/>
        <v>0.07895</v>
      </c>
      <c r="H20" s="50">
        <f t="shared" si="2"/>
        <v>0.0002082089218</v>
      </c>
      <c r="I20" s="51">
        <f t="shared" si="5"/>
        <v>0.0001219977673</v>
      </c>
    </row>
    <row r="21">
      <c r="A21" s="7">
        <v>43340.0</v>
      </c>
      <c r="B21" s="11">
        <v>27.4607</v>
      </c>
      <c r="C21" s="65">
        <f t="shared" si="3"/>
        <v>-0.0075103457</v>
      </c>
      <c r="D21" s="42">
        <v>11738.5</v>
      </c>
      <c r="E21" s="40">
        <f t="shared" si="4"/>
        <v>0.003981371799</v>
      </c>
      <c r="F21" s="43">
        <v>7.918</v>
      </c>
      <c r="G21" s="49">
        <f t="shared" si="1"/>
        <v>0.07918</v>
      </c>
      <c r="H21" s="50">
        <f t="shared" si="2"/>
        <v>0.0002087930093</v>
      </c>
      <c r="I21" s="51">
        <f t="shared" si="5"/>
        <v>0.00280529523</v>
      </c>
    </row>
    <row r="22">
      <c r="A22" s="7">
        <v>43341.0</v>
      </c>
      <c r="B22" s="11">
        <v>27.4101</v>
      </c>
      <c r="C22" s="65">
        <f t="shared" si="3"/>
        <v>-0.00184263329</v>
      </c>
      <c r="D22" s="42">
        <v>11691.9</v>
      </c>
      <c r="E22" s="40">
        <f t="shared" si="4"/>
        <v>-0.003969842825</v>
      </c>
      <c r="F22" s="43">
        <v>7.93</v>
      </c>
      <c r="G22" s="49">
        <f t="shared" si="1"/>
        <v>0.0793</v>
      </c>
      <c r="H22" s="50">
        <f t="shared" si="2"/>
        <v>0.0002090977013</v>
      </c>
      <c r="I22" s="51">
        <f t="shared" si="5"/>
        <v>0.001459301838</v>
      </c>
    </row>
    <row r="23">
      <c r="A23" s="7">
        <v>43342.0</v>
      </c>
      <c r="B23" s="11">
        <v>27.5668</v>
      </c>
      <c r="C23" s="65">
        <f t="shared" si="3"/>
        <v>0.005716870789</v>
      </c>
      <c r="D23" s="42">
        <v>11676.8</v>
      </c>
      <c r="E23" s="40">
        <f t="shared" si="4"/>
        <v>-0.001291492401</v>
      </c>
      <c r="F23" s="43">
        <v>7.951</v>
      </c>
      <c r="G23" s="49">
        <f t="shared" si="1"/>
        <v>0.07951</v>
      </c>
      <c r="H23" s="50">
        <f t="shared" si="2"/>
        <v>0.0002096308311</v>
      </c>
      <c r="I23" s="51">
        <f t="shared" si="5"/>
        <v>0.00254966818</v>
      </c>
    </row>
    <row r="24">
      <c r="A24" s="7">
        <v>43343.0</v>
      </c>
      <c r="B24" s="11">
        <v>27.682</v>
      </c>
      <c r="C24" s="65">
        <f t="shared" si="3"/>
        <v>0.004178939884</v>
      </c>
      <c r="D24" s="42">
        <v>11680.5</v>
      </c>
      <c r="E24" s="40">
        <f t="shared" si="4"/>
        <v>0.000316867635</v>
      </c>
      <c r="F24" s="43">
        <v>7.999</v>
      </c>
      <c r="G24" s="49">
        <f t="shared" si="1"/>
        <v>0.07999</v>
      </c>
      <c r="H24" s="50">
        <f t="shared" si="2"/>
        <v>0.0002108490251</v>
      </c>
      <c r="I24" s="51">
        <f t="shared" si="5"/>
        <v>0.005811139589</v>
      </c>
    </row>
    <row r="25">
      <c r="A25" s="13">
        <v>43346.0</v>
      </c>
      <c r="B25" s="11">
        <v>27.5869</v>
      </c>
      <c r="C25" s="65">
        <f t="shared" si="3"/>
        <v>-0.003435445416</v>
      </c>
      <c r="D25" s="42">
        <v>11582.35</v>
      </c>
      <c r="E25" s="40">
        <f t="shared" si="4"/>
        <v>-0.008402893712</v>
      </c>
      <c r="F25" s="43">
        <v>8.062</v>
      </c>
      <c r="G25" s="49">
        <f t="shared" si="1"/>
        <v>0.08062</v>
      </c>
      <c r="H25" s="50">
        <f t="shared" si="2"/>
        <v>0.0002124470856</v>
      </c>
      <c r="I25" s="51">
        <f t="shared" si="5"/>
        <v>0.007579169536</v>
      </c>
    </row>
    <row r="26">
      <c r="A26" s="13">
        <v>43347.0</v>
      </c>
      <c r="B26" s="11">
        <v>27.2047</v>
      </c>
      <c r="C26" s="65">
        <f t="shared" si="3"/>
        <v>-0.01385440191</v>
      </c>
      <c r="D26" s="42">
        <v>11520.3</v>
      </c>
      <c r="E26" s="40">
        <f t="shared" si="4"/>
        <v>-0.005357289324</v>
      </c>
      <c r="F26" s="43">
        <v>8.049</v>
      </c>
      <c r="G26" s="49">
        <f t="shared" si="1"/>
        <v>0.08049</v>
      </c>
      <c r="H26" s="50">
        <f t="shared" si="2"/>
        <v>0.0002121174032</v>
      </c>
      <c r="I26" s="51">
        <f t="shared" si="5"/>
        <v>-0.00155183312</v>
      </c>
    </row>
    <row r="27">
      <c r="A27" s="13">
        <v>43348.0</v>
      </c>
      <c r="B27" s="11">
        <v>27.0496</v>
      </c>
      <c r="C27" s="65">
        <f t="shared" si="3"/>
        <v>-0.005701220745</v>
      </c>
      <c r="D27" s="42">
        <v>11476.95</v>
      </c>
      <c r="E27" s="40">
        <f t="shared" si="4"/>
        <v>-0.003762922841</v>
      </c>
      <c r="F27" s="43">
        <v>8.056</v>
      </c>
      <c r="G27" s="49">
        <f t="shared" si="1"/>
        <v>0.08056</v>
      </c>
      <c r="H27" s="50">
        <f t="shared" si="2"/>
        <v>0.0002122949294</v>
      </c>
      <c r="I27" s="51">
        <f t="shared" si="5"/>
        <v>0.0008369243519</v>
      </c>
    </row>
    <row r="28">
      <c r="A28" s="13">
        <v>43349.0</v>
      </c>
      <c r="B28" s="11">
        <v>27.4338</v>
      </c>
      <c r="C28" s="65">
        <f t="shared" si="3"/>
        <v>0.01420353721</v>
      </c>
      <c r="D28" s="42">
        <v>11536.9</v>
      </c>
      <c r="E28" s="40">
        <f t="shared" si="4"/>
        <v>0.005223513216</v>
      </c>
      <c r="F28" s="43">
        <v>8.031</v>
      </c>
      <c r="G28" s="49">
        <f t="shared" si="1"/>
        <v>0.08031</v>
      </c>
      <c r="H28" s="50">
        <f t="shared" si="2"/>
        <v>0.0002116608545</v>
      </c>
      <c r="I28" s="51">
        <f t="shared" si="5"/>
        <v>-0.002986764162</v>
      </c>
    </row>
    <row r="29">
      <c r="A29" s="13">
        <v>43350.0</v>
      </c>
      <c r="B29" s="11">
        <v>27.4008</v>
      </c>
      <c r="C29" s="65">
        <f t="shared" si="3"/>
        <v>-0.001202895698</v>
      </c>
      <c r="D29" s="42">
        <v>11589.1</v>
      </c>
      <c r="E29" s="40">
        <f t="shared" si="4"/>
        <v>0.004524612331</v>
      </c>
      <c r="F29" s="43">
        <v>8.158</v>
      </c>
      <c r="G29" s="49">
        <f t="shared" si="1"/>
        <v>0.08158</v>
      </c>
      <c r="H29" s="50">
        <f t="shared" si="2"/>
        <v>0.0002148804397</v>
      </c>
      <c r="I29" s="51">
        <f t="shared" si="5"/>
        <v>0.01521105641</v>
      </c>
    </row>
    <row r="30">
      <c r="A30" s="7">
        <v>43353.0</v>
      </c>
      <c r="B30" s="11">
        <v>27.0925</v>
      </c>
      <c r="C30" s="65">
        <f t="shared" si="3"/>
        <v>-0.01125149631</v>
      </c>
      <c r="D30" s="42">
        <v>11438.1</v>
      </c>
      <c r="E30" s="40">
        <f t="shared" si="4"/>
        <v>-0.0130294846</v>
      </c>
      <c r="F30" s="43">
        <v>8.182</v>
      </c>
      <c r="G30" s="49">
        <f t="shared" si="1"/>
        <v>0.08182</v>
      </c>
      <c r="H30" s="50">
        <f t="shared" si="2"/>
        <v>0.0002154884417</v>
      </c>
      <c r="I30" s="51">
        <f t="shared" si="5"/>
        <v>0.002829489644</v>
      </c>
    </row>
    <row r="31">
      <c r="A31" s="7">
        <v>43354.0</v>
      </c>
      <c r="B31" s="11">
        <v>26.7773</v>
      </c>
      <c r="C31" s="65">
        <f t="shared" si="3"/>
        <v>-0.01163421611</v>
      </c>
      <c r="D31" s="42">
        <v>11287.5</v>
      </c>
      <c r="E31" s="40">
        <f t="shared" si="4"/>
        <v>-0.01316652241</v>
      </c>
      <c r="F31" s="43">
        <v>8.134</v>
      </c>
      <c r="G31" s="49">
        <f t="shared" si="1"/>
        <v>0.08134</v>
      </c>
      <c r="H31" s="50">
        <f t="shared" si="2"/>
        <v>0.0002142723032</v>
      </c>
      <c r="I31" s="51">
        <f t="shared" si="5"/>
        <v>-0.005643636882</v>
      </c>
    </row>
    <row r="32">
      <c r="A32" s="7">
        <v>43355.0</v>
      </c>
      <c r="B32" s="11">
        <v>26.9386</v>
      </c>
      <c r="C32" s="65">
        <f t="shared" si="3"/>
        <v>0.00602375893</v>
      </c>
      <c r="D32" s="42">
        <v>11369.9</v>
      </c>
      <c r="E32" s="40">
        <f t="shared" si="4"/>
        <v>0.007300110742</v>
      </c>
      <c r="F32" s="43">
        <v>8.127</v>
      </c>
      <c r="G32" s="49">
        <f t="shared" si="1"/>
        <v>0.08127</v>
      </c>
      <c r="H32" s="50">
        <f t="shared" si="2"/>
        <v>0.0002140949046</v>
      </c>
      <c r="I32" s="51">
        <f t="shared" si="5"/>
        <v>-0.0008279115393</v>
      </c>
    </row>
    <row r="33">
      <c r="A33" s="7">
        <v>43357.0</v>
      </c>
      <c r="B33" s="11">
        <v>27.2243</v>
      </c>
      <c r="C33" s="65">
        <f t="shared" si="3"/>
        <v>0.0106055994</v>
      </c>
      <c r="D33" s="42">
        <v>11515.2</v>
      </c>
      <c r="E33" s="40">
        <f t="shared" si="4"/>
        <v>0.01277935602</v>
      </c>
      <c r="F33" s="43">
        <v>8.124</v>
      </c>
      <c r="G33" s="49">
        <f t="shared" si="1"/>
        <v>0.08124</v>
      </c>
      <c r="H33" s="50">
        <f t="shared" si="2"/>
        <v>0.0002140188732</v>
      </c>
      <c r="I33" s="51">
        <f t="shared" si="5"/>
        <v>-0.0003551296092</v>
      </c>
    </row>
    <row r="34">
      <c r="A34" s="7">
        <v>43360.0</v>
      </c>
      <c r="B34" s="11">
        <v>27.1346</v>
      </c>
      <c r="C34" s="65">
        <f t="shared" si="3"/>
        <v>-0.003294850556</v>
      </c>
      <c r="D34" s="42">
        <v>11377.75</v>
      </c>
      <c r="E34" s="40">
        <f t="shared" si="4"/>
        <v>-0.01193639711</v>
      </c>
      <c r="F34" s="43">
        <v>8.098</v>
      </c>
      <c r="G34" s="49">
        <f t="shared" si="1"/>
        <v>0.08098</v>
      </c>
      <c r="H34" s="50">
        <f t="shared" si="2"/>
        <v>0.0002133598459</v>
      </c>
      <c r="I34" s="51">
        <f t="shared" si="5"/>
        <v>-0.003079295179</v>
      </c>
    </row>
    <row r="35">
      <c r="A35" s="7">
        <v>43361.0</v>
      </c>
      <c r="B35" s="11">
        <v>26.8809</v>
      </c>
      <c r="C35" s="65">
        <f t="shared" si="3"/>
        <v>-0.009349686378</v>
      </c>
      <c r="D35" s="42">
        <v>11278.9</v>
      </c>
      <c r="E35" s="40">
        <f t="shared" si="4"/>
        <v>-0.008688009492</v>
      </c>
      <c r="F35" s="43">
        <v>8.14</v>
      </c>
      <c r="G35" s="49">
        <f t="shared" si="1"/>
        <v>0.0814</v>
      </c>
      <c r="H35" s="50">
        <f t="shared" si="2"/>
        <v>0.0002144243499</v>
      </c>
      <c r="I35" s="51">
        <f t="shared" si="5"/>
        <v>0.004989242399</v>
      </c>
    </row>
    <row r="36">
      <c r="A36" s="7">
        <v>43362.0</v>
      </c>
      <c r="B36" s="11">
        <v>26.9559</v>
      </c>
      <c r="C36" s="65">
        <f t="shared" si="3"/>
        <v>0.002790085153</v>
      </c>
      <c r="D36" s="42">
        <v>11234.35</v>
      </c>
      <c r="E36" s="40">
        <f t="shared" si="4"/>
        <v>-0.003949853266</v>
      </c>
      <c r="F36" s="43">
        <v>8.074</v>
      </c>
      <c r="G36" s="49">
        <f t="shared" si="1"/>
        <v>0.08074</v>
      </c>
      <c r="H36" s="50">
        <f t="shared" si="2"/>
        <v>0.0002127513727</v>
      </c>
      <c r="I36" s="51">
        <f t="shared" si="5"/>
        <v>-0.007802179127</v>
      </c>
    </row>
    <row r="37">
      <c r="A37" s="7">
        <v>43364.0</v>
      </c>
      <c r="B37" s="11">
        <v>26.8182</v>
      </c>
      <c r="C37" s="65">
        <f t="shared" si="3"/>
        <v>-0.005108343628</v>
      </c>
      <c r="D37" s="42">
        <v>11143.1</v>
      </c>
      <c r="E37" s="40">
        <f t="shared" si="4"/>
        <v>-0.008122410286</v>
      </c>
      <c r="F37" s="43">
        <v>8.076</v>
      </c>
      <c r="G37" s="49">
        <f t="shared" si="1"/>
        <v>0.08076</v>
      </c>
      <c r="H37" s="50">
        <f t="shared" si="2"/>
        <v>0.000212802084</v>
      </c>
      <c r="I37" s="51">
        <f t="shared" si="5"/>
        <v>0.0002383591968</v>
      </c>
    </row>
    <row r="38">
      <c r="A38" s="7">
        <v>43367.0</v>
      </c>
      <c r="B38" s="11">
        <v>26.5561</v>
      </c>
      <c r="C38" s="65">
        <f t="shared" si="3"/>
        <v>-0.009773213713</v>
      </c>
      <c r="D38" s="42">
        <v>10967.4</v>
      </c>
      <c r="E38" s="40">
        <f t="shared" si="4"/>
        <v>-0.01576760507</v>
      </c>
      <c r="F38" s="43">
        <v>8.122</v>
      </c>
      <c r="G38" s="49">
        <f t="shared" si="1"/>
        <v>0.08122</v>
      </c>
      <c r="H38" s="50">
        <f t="shared" si="2"/>
        <v>0.0002139681844</v>
      </c>
      <c r="I38" s="51">
        <f t="shared" si="5"/>
        <v>0.00547974164</v>
      </c>
    </row>
    <row r="39">
      <c r="A39" s="7">
        <v>43368.0</v>
      </c>
      <c r="B39" s="11">
        <v>26.52</v>
      </c>
      <c r="C39" s="65">
        <f t="shared" si="3"/>
        <v>-0.001359386356</v>
      </c>
      <c r="D39" s="42">
        <v>11067.45</v>
      </c>
      <c r="E39" s="40">
        <f t="shared" si="4"/>
        <v>0.009122490289</v>
      </c>
      <c r="F39" s="43">
        <v>8.125</v>
      </c>
      <c r="G39" s="49">
        <f t="shared" si="1"/>
        <v>0.08125</v>
      </c>
      <c r="H39" s="50">
        <f t="shared" si="2"/>
        <v>0.0002140442172</v>
      </c>
      <c r="I39" s="51">
        <f t="shared" si="5"/>
        <v>0.0003553464861</v>
      </c>
    </row>
    <row r="40">
      <c r="A40" s="7">
        <v>43369.0</v>
      </c>
      <c r="B40" s="11">
        <v>26.588</v>
      </c>
      <c r="C40" s="65">
        <f t="shared" si="3"/>
        <v>0.002564102564</v>
      </c>
      <c r="D40" s="42">
        <v>11053.8</v>
      </c>
      <c r="E40" s="40">
        <f t="shared" si="4"/>
        <v>-0.001233346435</v>
      </c>
      <c r="F40" s="43">
        <v>8.072</v>
      </c>
      <c r="G40" s="49">
        <f t="shared" si="1"/>
        <v>0.08072</v>
      </c>
      <c r="H40" s="50">
        <f t="shared" si="2"/>
        <v>0.0002127006605</v>
      </c>
      <c r="I40" s="51">
        <f t="shared" si="5"/>
        <v>-0.00627700542</v>
      </c>
    </row>
    <row r="41">
      <c r="A41" s="7">
        <v>43370.0</v>
      </c>
      <c r="B41" s="11">
        <v>26.4703</v>
      </c>
      <c r="C41" s="65">
        <f t="shared" si="3"/>
        <v>-0.004426809087</v>
      </c>
      <c r="D41" s="42">
        <v>10977.55</v>
      </c>
      <c r="E41" s="40">
        <f t="shared" si="4"/>
        <v>-0.006898080298</v>
      </c>
      <c r="F41" s="43">
        <v>8.027</v>
      </c>
      <c r="G41" s="49">
        <f t="shared" si="1"/>
        <v>0.08027</v>
      </c>
      <c r="H41" s="50">
        <f t="shared" si="2"/>
        <v>0.0002115593889</v>
      </c>
      <c r="I41" s="51">
        <f t="shared" si="5"/>
        <v>-0.005365623218</v>
      </c>
    </row>
    <row r="42">
      <c r="A42" s="7">
        <v>43371.0</v>
      </c>
      <c r="B42" s="11">
        <v>26.0715</v>
      </c>
      <c r="C42" s="65">
        <f t="shared" si="3"/>
        <v>-0.01506594183</v>
      </c>
      <c r="D42" s="42">
        <v>10930.45</v>
      </c>
      <c r="E42" s="40">
        <f t="shared" si="4"/>
        <v>-0.004290574855</v>
      </c>
      <c r="F42" s="43">
        <v>8.024</v>
      </c>
      <c r="G42" s="49">
        <f t="shared" si="1"/>
        <v>0.08024</v>
      </c>
      <c r="H42" s="50">
        <f t="shared" si="2"/>
        <v>0.0002114832873</v>
      </c>
      <c r="I42" s="51">
        <f t="shared" si="5"/>
        <v>-0.0003597175728</v>
      </c>
    </row>
    <row r="43">
      <c r="A43" s="13">
        <v>43374.0</v>
      </c>
      <c r="B43" s="11">
        <v>26.0387</v>
      </c>
      <c r="C43" s="65">
        <f t="shared" si="3"/>
        <v>-0.001258078745</v>
      </c>
      <c r="D43" s="42">
        <v>11008.3</v>
      </c>
      <c r="E43" s="40">
        <f t="shared" si="4"/>
        <v>0.00712230512</v>
      </c>
      <c r="F43" s="43">
        <v>7.988</v>
      </c>
      <c r="G43" s="49">
        <f t="shared" si="1"/>
        <v>0.07988</v>
      </c>
      <c r="H43" s="50">
        <f t="shared" si="2"/>
        <v>0.0002105699033</v>
      </c>
      <c r="I43" s="51">
        <f t="shared" si="5"/>
        <v>-0.004318941719</v>
      </c>
    </row>
    <row r="44">
      <c r="A44" s="13">
        <v>43376.0</v>
      </c>
      <c r="B44" s="11">
        <v>25.7631</v>
      </c>
      <c r="C44" s="65">
        <f t="shared" si="3"/>
        <v>-0.01058424576</v>
      </c>
      <c r="D44" s="42">
        <v>10858.25</v>
      </c>
      <c r="E44" s="40">
        <f t="shared" si="4"/>
        <v>-0.01363062417</v>
      </c>
      <c r="F44" s="43">
        <v>8.112</v>
      </c>
      <c r="G44" s="49">
        <f t="shared" si="1"/>
        <v>0.08112</v>
      </c>
      <c r="H44" s="50">
        <f t="shared" si="2"/>
        <v>0.0002137147264</v>
      </c>
      <c r="I44" s="51">
        <f t="shared" si="5"/>
        <v>0.01493481757</v>
      </c>
    </row>
    <row r="45">
      <c r="A45" s="13">
        <v>43377.0</v>
      </c>
      <c r="B45" s="11">
        <v>25.495</v>
      </c>
      <c r="C45" s="65">
        <f t="shared" si="3"/>
        <v>-0.01040635638</v>
      </c>
      <c r="D45" s="42">
        <v>10599.25</v>
      </c>
      <c r="E45" s="40">
        <f t="shared" si="4"/>
        <v>-0.0238528308</v>
      </c>
      <c r="F45" s="43">
        <v>8.158</v>
      </c>
      <c r="G45" s="49">
        <f t="shared" si="1"/>
        <v>0.08158</v>
      </c>
      <c r="H45" s="50">
        <f t="shared" si="2"/>
        <v>0.0002148804397</v>
      </c>
      <c r="I45" s="51">
        <f t="shared" si="5"/>
        <v>0.005454529544</v>
      </c>
    </row>
    <row r="46">
      <c r="A46" s="13">
        <v>43378.0</v>
      </c>
      <c r="B46" s="11">
        <v>24.8231</v>
      </c>
      <c r="C46" s="65">
        <f t="shared" si="3"/>
        <v>-0.0263541871</v>
      </c>
      <c r="D46" s="42">
        <v>10316.45</v>
      </c>
      <c r="E46" s="40">
        <f t="shared" si="4"/>
        <v>-0.0266811331</v>
      </c>
      <c r="F46" s="43">
        <v>8.024</v>
      </c>
      <c r="G46" s="49">
        <f t="shared" si="1"/>
        <v>0.08024</v>
      </c>
      <c r="H46" s="50">
        <f t="shared" si="2"/>
        <v>0.0002114832873</v>
      </c>
      <c r="I46" s="51">
        <f t="shared" si="5"/>
        <v>-0.01580950036</v>
      </c>
    </row>
    <row r="47">
      <c r="A47" s="13">
        <v>43381.0</v>
      </c>
      <c r="B47" s="11">
        <v>24.7971</v>
      </c>
      <c r="C47" s="65">
        <f t="shared" si="3"/>
        <v>-0.001047411484</v>
      </c>
      <c r="D47" s="42">
        <v>10348.05</v>
      </c>
      <c r="E47" s="40">
        <f t="shared" si="4"/>
        <v>0.003063069176</v>
      </c>
      <c r="F47" s="43">
        <v>7.974</v>
      </c>
      <c r="G47" s="49">
        <f t="shared" si="1"/>
        <v>0.07974</v>
      </c>
      <c r="H47" s="50">
        <f t="shared" si="2"/>
        <v>0.0002102146164</v>
      </c>
      <c r="I47" s="51">
        <f t="shared" si="5"/>
        <v>-0.005998917948</v>
      </c>
    </row>
    <row r="48">
      <c r="A48" s="13">
        <v>43382.0</v>
      </c>
      <c r="B48" s="11">
        <v>24.7103</v>
      </c>
      <c r="C48" s="65">
        <f t="shared" si="3"/>
        <v>-0.003500409322</v>
      </c>
      <c r="D48" s="42">
        <v>10301.05</v>
      </c>
      <c r="E48" s="40">
        <f t="shared" si="4"/>
        <v>-0.004541918526</v>
      </c>
      <c r="F48" s="43">
        <v>8.076</v>
      </c>
      <c r="G48" s="49">
        <f t="shared" si="1"/>
        <v>0.08076</v>
      </c>
      <c r="H48" s="50">
        <f t="shared" si="2"/>
        <v>0.000212802084</v>
      </c>
      <c r="I48" s="51">
        <f t="shared" si="5"/>
        <v>0.01230869477</v>
      </c>
    </row>
    <row r="49">
      <c r="A49" s="7">
        <v>43383.0</v>
      </c>
      <c r="B49" s="11">
        <v>24.9631</v>
      </c>
      <c r="C49" s="65">
        <f t="shared" si="3"/>
        <v>0.01023055163</v>
      </c>
      <c r="D49" s="42">
        <v>10460.1</v>
      </c>
      <c r="E49" s="40">
        <f t="shared" si="4"/>
        <v>0.01544017357</v>
      </c>
      <c r="F49" s="43">
        <v>8.031</v>
      </c>
      <c r="G49" s="49">
        <f t="shared" si="1"/>
        <v>0.08031</v>
      </c>
      <c r="H49" s="50">
        <f t="shared" si="2"/>
        <v>0.0002116608545</v>
      </c>
      <c r="I49" s="51">
        <f t="shared" si="5"/>
        <v>-0.005362867923</v>
      </c>
    </row>
    <row r="50">
      <c r="A50" s="7">
        <v>43384.0</v>
      </c>
      <c r="B50" s="11">
        <v>24.8213</v>
      </c>
      <c r="C50" s="65">
        <f t="shared" si="3"/>
        <v>-0.005680384247</v>
      </c>
      <c r="D50" s="42">
        <v>10234.65</v>
      </c>
      <c r="E50" s="40">
        <f t="shared" si="4"/>
        <v>-0.02155333123</v>
      </c>
      <c r="F50" s="43">
        <v>7.986</v>
      </c>
      <c r="G50" s="49">
        <f t="shared" si="1"/>
        <v>0.07986</v>
      </c>
      <c r="H50" s="50">
        <f t="shared" si="2"/>
        <v>0.0002105191509</v>
      </c>
      <c r="I50" s="51">
        <f t="shared" si="5"/>
        <v>-0.005394023588</v>
      </c>
    </row>
    <row r="51">
      <c r="A51" s="7">
        <v>43385.0</v>
      </c>
      <c r="B51" s="11">
        <v>25.0901</v>
      </c>
      <c r="C51" s="65">
        <f t="shared" si="3"/>
        <v>0.01082940861</v>
      </c>
      <c r="D51" s="42">
        <v>10472.5</v>
      </c>
      <c r="E51" s="40">
        <f t="shared" si="4"/>
        <v>0.02323968089</v>
      </c>
      <c r="F51" s="43">
        <v>7.984</v>
      </c>
      <c r="G51" s="49">
        <f t="shared" si="1"/>
        <v>0.07984</v>
      </c>
      <c r="H51" s="50">
        <f t="shared" si="2"/>
        <v>0.0002104683975</v>
      </c>
      <c r="I51" s="51">
        <f t="shared" si="5"/>
        <v>-0.0002410868357</v>
      </c>
    </row>
    <row r="52">
      <c r="A52" s="7">
        <v>43388.0</v>
      </c>
      <c r="B52" s="11">
        <v>25.0074</v>
      </c>
      <c r="C52" s="65">
        <f t="shared" si="3"/>
        <v>-0.003296120781</v>
      </c>
      <c r="D52" s="42">
        <v>10512.5</v>
      </c>
      <c r="E52" s="40">
        <f t="shared" si="4"/>
        <v>0.003819527333</v>
      </c>
      <c r="F52" s="43">
        <v>7.921</v>
      </c>
      <c r="G52" s="49">
        <f t="shared" si="1"/>
        <v>0.07921</v>
      </c>
      <c r="H52" s="50">
        <f t="shared" si="2"/>
        <v>0.0002088691855</v>
      </c>
      <c r="I52" s="51">
        <f t="shared" si="5"/>
        <v>-0.007598347423</v>
      </c>
    </row>
    <row r="53">
      <c r="A53" s="7">
        <v>43389.0</v>
      </c>
      <c r="B53" s="11">
        <v>25.0444</v>
      </c>
      <c r="C53" s="65">
        <f t="shared" si="3"/>
        <v>0.00147956205</v>
      </c>
      <c r="D53" s="42">
        <v>10584.75</v>
      </c>
      <c r="E53" s="40">
        <f t="shared" si="4"/>
        <v>0.006872770511</v>
      </c>
      <c r="F53" s="43">
        <v>7.872</v>
      </c>
      <c r="G53" s="49">
        <f t="shared" si="1"/>
        <v>0.07872</v>
      </c>
      <c r="H53" s="50">
        <f t="shared" si="2"/>
        <v>0.0002076247101</v>
      </c>
      <c r="I53" s="51">
        <f t="shared" si="5"/>
        <v>-0.005958156741</v>
      </c>
    </row>
    <row r="54">
      <c r="A54" s="7">
        <v>43390.0</v>
      </c>
      <c r="B54" s="11">
        <v>24.9117</v>
      </c>
      <c r="C54" s="65">
        <f t="shared" si="3"/>
        <v>-0.005298589705</v>
      </c>
      <c r="D54" s="42">
        <v>10453.05</v>
      </c>
      <c r="E54" s="40">
        <f t="shared" si="4"/>
        <v>-0.01244242897</v>
      </c>
      <c r="F54" s="43">
        <v>7.909</v>
      </c>
      <c r="G54" s="49">
        <f t="shared" si="1"/>
        <v>0.07909</v>
      </c>
      <c r="H54" s="50">
        <f t="shared" si="2"/>
        <v>0.0002085644681</v>
      </c>
      <c r="I54" s="51">
        <f t="shared" si="5"/>
        <v>0.004526233805</v>
      </c>
    </row>
    <row r="55">
      <c r="A55" s="7">
        <v>43392.0</v>
      </c>
      <c r="B55" s="11">
        <v>24.7452</v>
      </c>
      <c r="C55" s="65">
        <f t="shared" si="3"/>
        <v>-0.006683606498</v>
      </c>
      <c r="D55" s="42">
        <v>10303.55</v>
      </c>
      <c r="E55" s="40">
        <f t="shared" si="4"/>
        <v>-0.01430204581</v>
      </c>
      <c r="F55" s="43">
        <v>7.921</v>
      </c>
      <c r="G55" s="49">
        <f t="shared" si="1"/>
        <v>0.07921</v>
      </c>
      <c r="H55" s="50">
        <f t="shared" si="2"/>
        <v>0.0002088691855</v>
      </c>
      <c r="I55" s="51">
        <f t="shared" si="5"/>
        <v>0.001461022418</v>
      </c>
    </row>
    <row r="56">
      <c r="A56" s="7">
        <v>43395.0</v>
      </c>
      <c r="B56" s="11">
        <v>24.6449</v>
      </c>
      <c r="C56" s="65">
        <f t="shared" si="3"/>
        <v>-0.004053311349</v>
      </c>
      <c r="D56" s="42">
        <v>10245.25</v>
      </c>
      <c r="E56" s="40">
        <f t="shared" si="4"/>
        <v>-0.005658244003</v>
      </c>
      <c r="F56" s="43">
        <v>7.93</v>
      </c>
      <c r="G56" s="49">
        <f t="shared" si="1"/>
        <v>0.0793</v>
      </c>
      <c r="H56" s="50">
        <f t="shared" si="2"/>
        <v>0.0002090977013</v>
      </c>
      <c r="I56" s="51">
        <f t="shared" si="5"/>
        <v>0.00109406205</v>
      </c>
    </row>
    <row r="57">
      <c r="A57" s="7">
        <v>43396.0</v>
      </c>
      <c r="B57" s="11">
        <v>24.4818</v>
      </c>
      <c r="C57" s="65">
        <f t="shared" si="3"/>
        <v>-0.006618002102</v>
      </c>
      <c r="D57" s="42">
        <v>10146.8</v>
      </c>
      <c r="E57" s="40">
        <f t="shared" si="4"/>
        <v>-0.009609331153</v>
      </c>
      <c r="F57" s="43">
        <v>7.894</v>
      </c>
      <c r="G57" s="49">
        <f t="shared" si="1"/>
        <v>0.07894</v>
      </c>
      <c r="H57" s="50">
        <f t="shared" si="2"/>
        <v>0.0002081835239</v>
      </c>
      <c r="I57" s="51">
        <f t="shared" si="5"/>
        <v>-0.004372010963</v>
      </c>
    </row>
    <row r="58">
      <c r="A58" s="7">
        <v>43397.0</v>
      </c>
      <c r="B58" s="11">
        <v>24.5036</v>
      </c>
      <c r="C58" s="65">
        <f t="shared" si="3"/>
        <v>0.000890457401</v>
      </c>
      <c r="D58" s="42">
        <v>10224.75</v>
      </c>
      <c r="E58" s="40">
        <f t="shared" si="4"/>
        <v>0.007682224938</v>
      </c>
      <c r="F58" s="43">
        <v>7.872</v>
      </c>
      <c r="G58" s="49">
        <f t="shared" si="1"/>
        <v>0.07872</v>
      </c>
      <c r="H58" s="50">
        <f t="shared" si="2"/>
        <v>0.0002076247101</v>
      </c>
      <c r="I58" s="51">
        <f t="shared" si="5"/>
        <v>-0.002684236205</v>
      </c>
    </row>
    <row r="59">
      <c r="A59" s="7">
        <v>43398.0</v>
      </c>
      <c r="B59" s="11">
        <v>24.3979</v>
      </c>
      <c r="C59" s="65">
        <f t="shared" si="3"/>
        <v>-0.004313651872</v>
      </c>
      <c r="D59" s="42">
        <v>10124.9</v>
      </c>
      <c r="E59" s="40">
        <f t="shared" si="4"/>
        <v>-0.009765519939</v>
      </c>
      <c r="F59" s="43">
        <v>7.867</v>
      </c>
      <c r="G59" s="49">
        <f t="shared" si="1"/>
        <v>0.07867</v>
      </c>
      <c r="H59" s="50">
        <f t="shared" si="2"/>
        <v>0.0002074976911</v>
      </c>
      <c r="I59" s="51">
        <f t="shared" si="5"/>
        <v>-0.0006117719618</v>
      </c>
    </row>
    <row r="60">
      <c r="A60" s="7">
        <v>43399.0</v>
      </c>
      <c r="B60" s="11">
        <v>24.319</v>
      </c>
      <c r="C60" s="65">
        <f t="shared" si="3"/>
        <v>-0.003233884884</v>
      </c>
      <c r="D60" s="42">
        <v>10030.0</v>
      </c>
      <c r="E60" s="40">
        <f t="shared" si="4"/>
        <v>-0.009372932078</v>
      </c>
      <c r="F60" s="43">
        <v>7.877</v>
      </c>
      <c r="G60" s="49">
        <f t="shared" si="1"/>
        <v>0.07877</v>
      </c>
      <c r="H60" s="50">
        <f t="shared" si="2"/>
        <v>0.0002077517232</v>
      </c>
      <c r="I60" s="51">
        <f t="shared" si="5"/>
        <v>0.001224264615</v>
      </c>
    </row>
    <row r="61">
      <c r="A61" s="7">
        <v>43402.0</v>
      </c>
      <c r="B61" s="11">
        <v>24.78</v>
      </c>
      <c r="C61" s="65">
        <f t="shared" si="3"/>
        <v>0.01895637156</v>
      </c>
      <c r="D61" s="42">
        <v>10250.85</v>
      </c>
      <c r="E61" s="40">
        <f t="shared" si="4"/>
        <v>0.02201894317</v>
      </c>
      <c r="F61" s="43">
        <v>7.81</v>
      </c>
      <c r="G61" s="49">
        <f t="shared" si="1"/>
        <v>0.0781</v>
      </c>
      <c r="H61" s="50">
        <f t="shared" si="2"/>
        <v>0.0002060492597</v>
      </c>
      <c r="I61" s="51">
        <f t="shared" si="5"/>
        <v>-0.008194702464</v>
      </c>
    </row>
    <row r="62">
      <c r="A62" s="7">
        <v>43403.0</v>
      </c>
      <c r="B62" s="11">
        <v>24.8717</v>
      </c>
      <c r="C62" s="65">
        <f t="shared" si="3"/>
        <v>0.003700564972</v>
      </c>
      <c r="D62" s="42">
        <v>10198.4</v>
      </c>
      <c r="E62" s="40">
        <f t="shared" si="4"/>
        <v>-0.005116648863</v>
      </c>
      <c r="F62" s="43">
        <v>7.834</v>
      </c>
      <c r="G62" s="49">
        <f t="shared" si="1"/>
        <v>0.07834</v>
      </c>
      <c r="H62" s="50">
        <f t="shared" si="2"/>
        <v>0.0002066592186</v>
      </c>
      <c r="I62" s="51">
        <f t="shared" si="5"/>
        <v>0.002960257885</v>
      </c>
    </row>
    <row r="63">
      <c r="A63" s="7">
        <v>43404.0</v>
      </c>
      <c r="B63" s="11">
        <v>25.0986</v>
      </c>
      <c r="C63" s="65">
        <f t="shared" si="3"/>
        <v>0.009122818304</v>
      </c>
      <c r="D63" s="42">
        <v>10386.6</v>
      </c>
      <c r="E63" s="40">
        <f t="shared" si="4"/>
        <v>0.01845387512</v>
      </c>
      <c r="F63" s="43">
        <v>7.853</v>
      </c>
      <c r="G63" s="49">
        <f t="shared" si="1"/>
        <v>0.07853</v>
      </c>
      <c r="H63" s="50">
        <f t="shared" si="2"/>
        <v>0.0002071420068</v>
      </c>
      <c r="I63" s="51">
        <f t="shared" si="5"/>
        <v>0.00233615593</v>
      </c>
    </row>
    <row r="64">
      <c r="A64" s="13">
        <v>43405.0</v>
      </c>
      <c r="B64" s="11">
        <v>25.1816</v>
      </c>
      <c r="C64" s="65">
        <f t="shared" si="3"/>
        <v>0.00330695736</v>
      </c>
      <c r="D64" s="42">
        <v>10380.45</v>
      </c>
      <c r="E64" s="40">
        <f t="shared" si="4"/>
        <v>-0.0005921090636</v>
      </c>
      <c r="F64" s="43">
        <v>7.823</v>
      </c>
      <c r="G64" s="49">
        <f t="shared" si="1"/>
        <v>0.07823</v>
      </c>
      <c r="H64" s="50">
        <f t="shared" si="2"/>
        <v>0.0002063796709</v>
      </c>
      <c r="I64" s="51">
        <f t="shared" si="5"/>
        <v>-0.003680257232</v>
      </c>
    </row>
    <row r="65">
      <c r="A65" s="13">
        <v>43406.0</v>
      </c>
      <c r="B65" s="11">
        <v>25.3622</v>
      </c>
      <c r="C65" s="65">
        <f t="shared" si="3"/>
        <v>0.007171903294</v>
      </c>
      <c r="D65" s="42">
        <v>10553.0</v>
      </c>
      <c r="E65" s="40">
        <f t="shared" si="4"/>
        <v>0.01662259343</v>
      </c>
      <c r="F65" s="43">
        <v>7.781</v>
      </c>
      <c r="G65" s="49">
        <f t="shared" si="1"/>
        <v>0.07781</v>
      </c>
      <c r="H65" s="50">
        <f t="shared" si="2"/>
        <v>0.0002053120452</v>
      </c>
      <c r="I65" s="51">
        <f t="shared" si="5"/>
        <v>-0.005173114442</v>
      </c>
    </row>
    <row r="66">
      <c r="A66" s="13">
        <v>43409.0</v>
      </c>
      <c r="B66" s="11">
        <v>25.3317</v>
      </c>
      <c r="C66" s="65">
        <f t="shared" si="3"/>
        <v>-0.001202577064</v>
      </c>
      <c r="D66" s="42">
        <v>10524.0</v>
      </c>
      <c r="E66" s="40">
        <f t="shared" si="4"/>
        <v>-0.002748033734</v>
      </c>
      <c r="F66" s="43">
        <v>7.808</v>
      </c>
      <c r="G66" s="49">
        <f t="shared" si="1"/>
        <v>0.07808</v>
      </c>
      <c r="H66" s="50">
        <f t="shared" si="2"/>
        <v>0.0002059984236</v>
      </c>
      <c r="I66" s="51">
        <f t="shared" si="5"/>
        <v>0.003343098525</v>
      </c>
    </row>
    <row r="67">
      <c r="A67" s="13">
        <v>43410.0</v>
      </c>
      <c r="B67" s="11">
        <v>25.2219</v>
      </c>
      <c r="C67" s="65">
        <f t="shared" si="3"/>
        <v>-0.004334489987</v>
      </c>
      <c r="D67" s="42">
        <v>10530.0</v>
      </c>
      <c r="E67" s="40">
        <f t="shared" si="4"/>
        <v>0.0005701254276</v>
      </c>
      <c r="F67" s="43">
        <v>7.796</v>
      </c>
      <c r="G67" s="49">
        <f t="shared" si="1"/>
        <v>0.07796</v>
      </c>
      <c r="H67" s="50">
        <f t="shared" si="2"/>
        <v>0.0002056933877</v>
      </c>
      <c r="I67" s="51">
        <f t="shared" si="5"/>
        <v>-0.001480768119</v>
      </c>
    </row>
    <row r="68">
      <c r="A68" s="13">
        <v>43413.0</v>
      </c>
      <c r="B68" s="11">
        <v>25.8517</v>
      </c>
      <c r="C68" s="65">
        <f t="shared" si="3"/>
        <v>0.02497036306</v>
      </c>
      <c r="D68" s="42">
        <v>10585.2</v>
      </c>
      <c r="E68" s="40">
        <f t="shared" si="4"/>
        <v>0.005242165242</v>
      </c>
      <c r="F68" s="43">
        <v>7.765</v>
      </c>
      <c r="G68" s="49">
        <f t="shared" si="1"/>
        <v>0.07765</v>
      </c>
      <c r="H68" s="50">
        <f t="shared" si="2"/>
        <v>0.0002049052216</v>
      </c>
      <c r="I68" s="51">
        <f t="shared" si="5"/>
        <v>-0.00383175258</v>
      </c>
    </row>
    <row r="69">
      <c r="A69" s="7">
        <v>43416.0</v>
      </c>
      <c r="B69" s="11">
        <v>25.7357</v>
      </c>
      <c r="C69" s="65">
        <f t="shared" si="3"/>
        <v>-0.004487132374</v>
      </c>
      <c r="D69" s="42">
        <v>10482.2</v>
      </c>
      <c r="E69" s="40">
        <f t="shared" si="4"/>
        <v>-0.009730567207</v>
      </c>
      <c r="F69" s="43">
        <v>7.804</v>
      </c>
      <c r="G69" s="49">
        <f t="shared" si="1"/>
        <v>0.07804</v>
      </c>
      <c r="H69" s="50">
        <f t="shared" si="2"/>
        <v>0.0002058967488</v>
      </c>
      <c r="I69" s="51">
        <f t="shared" si="5"/>
        <v>0.004838955248</v>
      </c>
    </row>
    <row r="70">
      <c r="A70" s="7">
        <v>43417.0</v>
      </c>
      <c r="B70" s="11">
        <v>25.8738</v>
      </c>
      <c r="C70" s="65">
        <f t="shared" si="3"/>
        <v>0.005366086798</v>
      </c>
      <c r="D70" s="42">
        <v>10582.5</v>
      </c>
      <c r="E70" s="40">
        <f t="shared" si="4"/>
        <v>0.009568602011</v>
      </c>
      <c r="F70" s="43">
        <v>7.762</v>
      </c>
      <c r="G70" s="49">
        <f t="shared" si="1"/>
        <v>0.07762</v>
      </c>
      <c r="H70" s="50">
        <f t="shared" si="2"/>
        <v>0.0002048289354</v>
      </c>
      <c r="I70" s="51">
        <f t="shared" si="5"/>
        <v>-0.005186159316</v>
      </c>
    </row>
    <row r="71">
      <c r="A71" s="7">
        <v>43418.0</v>
      </c>
      <c r="B71" s="11">
        <v>26.0756</v>
      </c>
      <c r="C71" s="65">
        <f t="shared" si="3"/>
        <v>0.007799395528</v>
      </c>
      <c r="D71" s="42">
        <v>10576.3</v>
      </c>
      <c r="E71" s="40">
        <f t="shared" si="4"/>
        <v>-0.0005858729034</v>
      </c>
      <c r="F71" s="43">
        <v>7.733</v>
      </c>
      <c r="G71" s="49">
        <f t="shared" si="1"/>
        <v>0.07733</v>
      </c>
      <c r="H71" s="50">
        <f t="shared" si="2"/>
        <v>0.0002040913935</v>
      </c>
      <c r="I71" s="51">
        <f t="shared" si="5"/>
        <v>-0.003600770259</v>
      </c>
    </row>
    <row r="72">
      <c r="A72" s="7">
        <v>43419.0</v>
      </c>
      <c r="B72" s="11">
        <v>26.2885</v>
      </c>
      <c r="C72" s="65">
        <f t="shared" si="3"/>
        <v>0.008164721042</v>
      </c>
      <c r="D72" s="42">
        <v>10616.7</v>
      </c>
      <c r="E72" s="40">
        <f t="shared" si="4"/>
        <v>0.003819861388</v>
      </c>
      <c r="F72" s="43">
        <v>7.756</v>
      </c>
      <c r="G72" s="49">
        <f t="shared" si="1"/>
        <v>0.07756</v>
      </c>
      <c r="H72" s="50">
        <f t="shared" si="2"/>
        <v>0.0002046763568</v>
      </c>
      <c r="I72" s="51">
        <f t="shared" si="5"/>
        <v>0.002866183068</v>
      </c>
    </row>
    <row r="73">
      <c r="A73" s="7">
        <v>43420.0</v>
      </c>
      <c r="B73" s="11">
        <v>26.2669</v>
      </c>
      <c r="C73" s="65">
        <f t="shared" si="3"/>
        <v>-0.0008216520532</v>
      </c>
      <c r="D73" s="42">
        <v>10682.2</v>
      </c>
      <c r="E73" s="40">
        <f t="shared" si="4"/>
        <v>0.00616952537</v>
      </c>
      <c r="F73" s="43">
        <v>7.815</v>
      </c>
      <c r="G73" s="49">
        <f t="shared" si="1"/>
        <v>0.07815</v>
      </c>
      <c r="H73" s="50">
        <f t="shared" si="2"/>
        <v>0.0002061763456</v>
      </c>
      <c r="I73" s="51">
        <f t="shared" si="5"/>
        <v>0.007328588651</v>
      </c>
    </row>
    <row r="74">
      <c r="A74" s="7">
        <v>43423.0</v>
      </c>
      <c r="B74" s="11">
        <v>26.3232</v>
      </c>
      <c r="C74" s="65">
        <f t="shared" si="3"/>
        <v>0.002143381975</v>
      </c>
      <c r="D74" s="42">
        <v>10763.4</v>
      </c>
      <c r="E74" s="40">
        <f t="shared" si="4"/>
        <v>0.007601430417</v>
      </c>
      <c r="F74" s="43">
        <v>7.791</v>
      </c>
      <c r="G74" s="49">
        <f t="shared" si="1"/>
        <v>0.07791</v>
      </c>
      <c r="H74" s="50">
        <f t="shared" si="2"/>
        <v>0.0002055662794</v>
      </c>
      <c r="I74" s="51">
        <f t="shared" si="5"/>
        <v>-0.002958953186</v>
      </c>
    </row>
    <row r="75">
      <c r="A75" s="7">
        <v>43424.0</v>
      </c>
      <c r="B75" s="11">
        <v>25.951</v>
      </c>
      <c r="C75" s="65">
        <f t="shared" si="3"/>
        <v>-0.01413961828</v>
      </c>
      <c r="D75" s="42">
        <v>10656.2</v>
      </c>
      <c r="E75" s="40">
        <f t="shared" si="4"/>
        <v>-0.009959678169</v>
      </c>
      <c r="F75" s="43">
        <v>7.792</v>
      </c>
      <c r="G75" s="49">
        <f t="shared" si="1"/>
        <v>0.07792</v>
      </c>
      <c r="H75" s="50">
        <f t="shared" si="2"/>
        <v>0.0002055917016</v>
      </c>
      <c r="I75" s="51">
        <f t="shared" si="5"/>
        <v>0.0001236687631</v>
      </c>
    </row>
    <row r="76">
      <c r="A76" s="7">
        <v>43425.0</v>
      </c>
      <c r="B76" s="11">
        <v>26.124</v>
      </c>
      <c r="C76" s="65">
        <f t="shared" si="3"/>
        <v>0.006666409772</v>
      </c>
      <c r="D76" s="42">
        <v>10526.75</v>
      </c>
      <c r="E76" s="40">
        <f t="shared" si="4"/>
        <v>-0.01214785759</v>
      </c>
      <c r="F76" s="43">
        <v>7.71</v>
      </c>
      <c r="G76" s="49">
        <f t="shared" si="1"/>
        <v>0.0771</v>
      </c>
      <c r="H76" s="50">
        <f t="shared" si="2"/>
        <v>0.0002035063056</v>
      </c>
      <c r="I76" s="51">
        <f t="shared" si="5"/>
        <v>-0.0101433858</v>
      </c>
    </row>
    <row r="77">
      <c r="A77" s="7">
        <v>43426.0</v>
      </c>
      <c r="B77" s="11">
        <v>25.8441</v>
      </c>
      <c r="C77" s="65">
        <f t="shared" si="3"/>
        <v>-0.01071428571</v>
      </c>
      <c r="D77" s="42">
        <v>10628.6</v>
      </c>
      <c r="E77" s="40">
        <f t="shared" si="4"/>
        <v>0.009675350892</v>
      </c>
      <c r="F77" s="43">
        <v>7.726</v>
      </c>
      <c r="G77" s="49">
        <f t="shared" si="1"/>
        <v>0.07726</v>
      </c>
      <c r="H77" s="50">
        <f t="shared" si="2"/>
        <v>0.0002039133364</v>
      </c>
      <c r="I77" s="51">
        <f t="shared" si="5"/>
        <v>0.002000089492</v>
      </c>
    </row>
    <row r="78">
      <c r="A78" s="7">
        <v>43430.0</v>
      </c>
      <c r="B78" s="11">
        <v>26.169</v>
      </c>
      <c r="C78" s="65">
        <f t="shared" si="3"/>
        <v>0.0125715347</v>
      </c>
      <c r="D78" s="42">
        <v>10685.6</v>
      </c>
      <c r="E78" s="40">
        <f t="shared" si="4"/>
        <v>0.005362888809</v>
      </c>
      <c r="F78" s="43">
        <v>7.734</v>
      </c>
      <c r="G78" s="49">
        <f t="shared" si="1"/>
        <v>0.07734</v>
      </c>
      <c r="H78" s="50">
        <f t="shared" si="2"/>
        <v>0.0002041168293</v>
      </c>
      <c r="I78" s="51">
        <f t="shared" si="5"/>
        <v>0.0009979376911</v>
      </c>
    </row>
    <row r="79">
      <c r="A79" s="7">
        <v>43431.0</v>
      </c>
      <c r="B79" s="11">
        <v>26.1378</v>
      </c>
      <c r="C79" s="65">
        <f t="shared" si="3"/>
        <v>-0.001192250373</v>
      </c>
      <c r="D79" s="42">
        <v>10728.85</v>
      </c>
      <c r="E79" s="40">
        <f t="shared" si="4"/>
        <v>0.004047503182</v>
      </c>
      <c r="F79" s="43">
        <v>7.644</v>
      </c>
      <c r="G79" s="49">
        <f t="shared" si="1"/>
        <v>0.07644</v>
      </c>
      <c r="H79" s="50">
        <f t="shared" si="2"/>
        <v>0.0002018266659</v>
      </c>
      <c r="I79" s="51">
        <f t="shared" si="5"/>
        <v>-0.01121986557</v>
      </c>
    </row>
    <row r="80">
      <c r="A80" s="7">
        <v>43432.0</v>
      </c>
      <c r="B80" s="11">
        <v>25.9579</v>
      </c>
      <c r="C80" s="65">
        <f t="shared" si="3"/>
        <v>-0.006882752183</v>
      </c>
      <c r="D80" s="42">
        <v>10858.7</v>
      </c>
      <c r="E80" s="40">
        <f t="shared" si="4"/>
        <v>0.01210288148</v>
      </c>
      <c r="F80" s="43">
        <v>7.608</v>
      </c>
      <c r="G80" s="49">
        <f t="shared" si="1"/>
        <v>0.07608</v>
      </c>
      <c r="H80" s="50">
        <f t="shared" si="2"/>
        <v>0.0002009100658</v>
      </c>
      <c r="I80" s="51">
        <f t="shared" si="5"/>
        <v>-0.004541521131</v>
      </c>
    </row>
    <row r="81">
      <c r="A81" s="7">
        <v>43433.0</v>
      </c>
      <c r="B81" s="11">
        <v>26.1898</v>
      </c>
      <c r="C81" s="65">
        <f t="shared" si="3"/>
        <v>0.008933696485</v>
      </c>
      <c r="D81" s="42">
        <v>10876.75</v>
      </c>
      <c r="E81" s="40">
        <f t="shared" si="4"/>
        <v>0.001662261597</v>
      </c>
      <c r="F81" s="43">
        <v>7.607</v>
      </c>
      <c r="G81" s="49">
        <f t="shared" si="1"/>
        <v>0.07607</v>
      </c>
      <c r="H81" s="50">
        <f t="shared" si="2"/>
        <v>0.0002008846003</v>
      </c>
      <c r="I81" s="51">
        <f t="shared" si="5"/>
        <v>-0.0001267506327</v>
      </c>
    </row>
    <row r="82">
      <c r="A82" s="7">
        <v>43434.0</v>
      </c>
      <c r="B82" s="11">
        <v>26.3529</v>
      </c>
      <c r="C82" s="65">
        <f t="shared" si="3"/>
        <v>0.006227615331</v>
      </c>
      <c r="D82" s="42">
        <v>10883.75</v>
      </c>
      <c r="E82" s="40">
        <f t="shared" si="4"/>
        <v>0.0006435745972</v>
      </c>
      <c r="F82" s="43">
        <v>7.626</v>
      </c>
      <c r="G82" s="49">
        <f t="shared" si="1"/>
        <v>0.07626</v>
      </c>
      <c r="H82" s="50">
        <f t="shared" si="2"/>
        <v>0.0002013684041</v>
      </c>
      <c r="I82" s="51">
        <f t="shared" si="5"/>
        <v>0.002408366448</v>
      </c>
    </row>
    <row r="83">
      <c r="A83" s="13">
        <v>43437.0</v>
      </c>
      <c r="B83" s="11">
        <v>26.4013</v>
      </c>
      <c r="C83" s="65">
        <f t="shared" si="3"/>
        <v>0.001836610013</v>
      </c>
      <c r="D83" s="42">
        <v>10869.5</v>
      </c>
      <c r="E83" s="40">
        <f t="shared" si="4"/>
        <v>-0.001309291375</v>
      </c>
      <c r="F83" s="43">
        <v>7.574</v>
      </c>
      <c r="G83" s="49">
        <f t="shared" si="1"/>
        <v>0.07574</v>
      </c>
      <c r="H83" s="50">
        <f t="shared" si="2"/>
        <v>0.0002000441071</v>
      </c>
      <c r="I83" s="51">
        <f t="shared" si="5"/>
        <v>-0.006576488198</v>
      </c>
    </row>
    <row r="84">
      <c r="A84" s="13">
        <v>43438.0</v>
      </c>
      <c r="B84" s="11">
        <v>26.1678</v>
      </c>
      <c r="C84" s="65">
        <f t="shared" si="3"/>
        <v>-0.008844261457</v>
      </c>
      <c r="D84" s="42">
        <v>10782.9</v>
      </c>
      <c r="E84" s="40">
        <f t="shared" si="4"/>
        <v>-0.007967247803</v>
      </c>
      <c r="F84" s="43">
        <v>7.44</v>
      </c>
      <c r="G84" s="49">
        <f t="shared" si="1"/>
        <v>0.0744</v>
      </c>
      <c r="H84" s="50">
        <f t="shared" si="2"/>
        <v>0.0001966285514</v>
      </c>
      <c r="I84" s="51">
        <f t="shared" si="5"/>
        <v>-0.01707401319</v>
      </c>
    </row>
    <row r="85">
      <c r="A85" s="13">
        <v>43439.0</v>
      </c>
      <c r="B85" s="11">
        <v>25.7766</v>
      </c>
      <c r="C85" s="65">
        <f t="shared" si="3"/>
        <v>-0.01494967097</v>
      </c>
      <c r="D85" s="42">
        <v>10601.15</v>
      </c>
      <c r="E85" s="40">
        <f t="shared" si="4"/>
        <v>-0.01685539141</v>
      </c>
      <c r="F85" s="43">
        <v>7.423</v>
      </c>
      <c r="G85" s="49">
        <f t="shared" si="1"/>
        <v>0.07423</v>
      </c>
      <c r="H85" s="50">
        <f t="shared" si="2"/>
        <v>0.000196194931</v>
      </c>
      <c r="I85" s="51">
        <f t="shared" si="5"/>
        <v>-0.002205276912</v>
      </c>
    </row>
    <row r="86">
      <c r="A86" s="13">
        <v>43440.0</v>
      </c>
      <c r="B86" s="11">
        <v>25.4419</v>
      </c>
      <c r="C86" s="65">
        <f t="shared" si="3"/>
        <v>-0.01298464499</v>
      </c>
      <c r="D86" s="42">
        <v>10693.7</v>
      </c>
      <c r="E86" s="40">
        <f t="shared" si="4"/>
        <v>0.008730184933</v>
      </c>
      <c r="F86" s="43">
        <v>7.464</v>
      </c>
      <c r="G86" s="49">
        <f t="shared" si="1"/>
        <v>0.07464</v>
      </c>
      <c r="H86" s="50">
        <f t="shared" si="2"/>
        <v>0.0001972406049</v>
      </c>
      <c r="I86" s="51">
        <f t="shared" si="5"/>
        <v>0.005329770307</v>
      </c>
    </row>
    <row r="87">
      <c r="A87" s="13">
        <v>43441.0</v>
      </c>
      <c r="B87" s="11">
        <v>25.571</v>
      </c>
      <c r="C87" s="65">
        <f t="shared" si="3"/>
        <v>0.005074306557</v>
      </c>
      <c r="D87" s="42">
        <v>10488.45</v>
      </c>
      <c r="E87" s="40">
        <f t="shared" si="4"/>
        <v>-0.01919354386</v>
      </c>
      <c r="F87" s="43">
        <v>7.587</v>
      </c>
      <c r="G87" s="49">
        <f t="shared" si="1"/>
        <v>0.07587</v>
      </c>
      <c r="H87" s="50">
        <f t="shared" si="2"/>
        <v>0.0002003752412</v>
      </c>
      <c r="I87" s="51">
        <f t="shared" si="5"/>
        <v>0.01589244915</v>
      </c>
    </row>
    <row r="88">
      <c r="A88" s="7">
        <v>43444.0</v>
      </c>
      <c r="B88" s="11">
        <v>25.0329</v>
      </c>
      <c r="C88" s="65">
        <f t="shared" si="3"/>
        <v>-0.02104336944</v>
      </c>
      <c r="D88" s="42">
        <v>10549.15</v>
      </c>
      <c r="E88" s="40">
        <f t="shared" si="4"/>
        <v>0.005787318431</v>
      </c>
      <c r="F88" s="43">
        <v>7.528</v>
      </c>
      <c r="G88" s="49">
        <f t="shared" si="1"/>
        <v>0.07528</v>
      </c>
      <c r="H88" s="50">
        <f t="shared" si="2"/>
        <v>0.0001988720814</v>
      </c>
      <c r="I88" s="51">
        <f t="shared" si="5"/>
        <v>-0.0075017241</v>
      </c>
    </row>
    <row r="89">
      <c r="A89" s="7">
        <v>43445.0</v>
      </c>
      <c r="B89" s="11">
        <v>25.3</v>
      </c>
      <c r="C89" s="65">
        <f t="shared" si="3"/>
        <v>0.01066995833</v>
      </c>
      <c r="D89" s="42">
        <v>10737.6</v>
      </c>
      <c r="E89" s="40">
        <f t="shared" si="4"/>
        <v>0.01786399852</v>
      </c>
      <c r="F89" s="43">
        <v>7.411</v>
      </c>
      <c r="G89" s="49">
        <f t="shared" si="1"/>
        <v>0.07411</v>
      </c>
      <c r="H89" s="50">
        <f t="shared" si="2"/>
        <v>0.0001958888048</v>
      </c>
      <c r="I89" s="51">
        <f t="shared" si="5"/>
        <v>-0.01500098254</v>
      </c>
    </row>
    <row r="90">
      <c r="A90" s="7">
        <v>43446.0</v>
      </c>
      <c r="B90" s="11">
        <v>25.8804</v>
      </c>
      <c r="C90" s="65">
        <f t="shared" si="3"/>
        <v>0.02294071146</v>
      </c>
      <c r="D90" s="42">
        <v>10791.55</v>
      </c>
      <c r="E90" s="40">
        <f t="shared" si="4"/>
        <v>0.005024400238</v>
      </c>
      <c r="F90" s="43">
        <v>7.408</v>
      </c>
      <c r="G90" s="49">
        <f t="shared" si="1"/>
        <v>0.07408</v>
      </c>
      <c r="H90" s="50">
        <f t="shared" si="2"/>
        <v>0.0001958122679</v>
      </c>
      <c r="I90" s="51">
        <f t="shared" si="5"/>
        <v>-0.0003907159383</v>
      </c>
    </row>
    <row r="91">
      <c r="A91" s="7">
        <v>43447.0</v>
      </c>
      <c r="B91" s="11">
        <v>26.127</v>
      </c>
      <c r="C91" s="65">
        <f t="shared" si="3"/>
        <v>0.009528446237</v>
      </c>
      <c r="D91" s="42">
        <v>10805.45</v>
      </c>
      <c r="E91" s="40">
        <f t="shared" si="4"/>
        <v>0.001288044813</v>
      </c>
      <c r="F91" s="43">
        <v>7.441</v>
      </c>
      <c r="G91" s="49">
        <f t="shared" si="1"/>
        <v>0.07441</v>
      </c>
      <c r="H91" s="50">
        <f t="shared" si="2"/>
        <v>0.0001966540564</v>
      </c>
      <c r="I91" s="51">
        <f t="shared" si="5"/>
        <v>0.004298956544</v>
      </c>
    </row>
    <row r="92">
      <c r="A92" s="7">
        <v>43448.0</v>
      </c>
      <c r="B92" s="11">
        <v>26.1933</v>
      </c>
      <c r="C92" s="65">
        <f t="shared" si="3"/>
        <v>0.002537604777</v>
      </c>
      <c r="D92" s="42">
        <v>10888.35</v>
      </c>
      <c r="E92" s="40">
        <f t="shared" si="4"/>
        <v>0.00767205438</v>
      </c>
      <c r="F92" s="43">
        <v>7.461</v>
      </c>
      <c r="G92" s="49">
        <f t="shared" si="1"/>
        <v>0.07461</v>
      </c>
      <c r="H92" s="50">
        <f t="shared" si="2"/>
        <v>0.0001971641057</v>
      </c>
      <c r="I92" s="51">
        <f t="shared" si="5"/>
        <v>0.002593637459</v>
      </c>
    </row>
    <row r="93">
      <c r="A93" s="7">
        <v>43451.0</v>
      </c>
      <c r="B93" s="11">
        <v>26.3228</v>
      </c>
      <c r="C93" s="65">
        <f t="shared" si="3"/>
        <v>0.0049440124</v>
      </c>
      <c r="D93" s="42">
        <v>10908.7</v>
      </c>
      <c r="E93" s="40">
        <f t="shared" si="4"/>
        <v>0.001868970046</v>
      </c>
      <c r="F93" s="43">
        <v>7.345</v>
      </c>
      <c r="G93" s="49">
        <f t="shared" si="1"/>
        <v>0.07345</v>
      </c>
      <c r="H93" s="50">
        <f t="shared" si="2"/>
        <v>0.0001942045008</v>
      </c>
      <c r="I93" s="51">
        <f t="shared" si="5"/>
        <v>-0.01501087048</v>
      </c>
    </row>
    <row r="94">
      <c r="A94" s="7">
        <v>43452.0</v>
      </c>
      <c r="B94" s="11">
        <v>26.5198</v>
      </c>
      <c r="C94" s="65">
        <f t="shared" si="3"/>
        <v>0.007484006261</v>
      </c>
      <c r="D94" s="42">
        <v>10967.3</v>
      </c>
      <c r="E94" s="40">
        <f t="shared" si="4"/>
        <v>0.005371859158</v>
      </c>
      <c r="F94" s="43">
        <v>7.219</v>
      </c>
      <c r="G94" s="49">
        <f t="shared" si="1"/>
        <v>0.07219</v>
      </c>
      <c r="H94" s="50">
        <f t="shared" si="2"/>
        <v>0.0001909861417</v>
      </c>
      <c r="I94" s="51">
        <f t="shared" si="5"/>
        <v>-0.01657201103</v>
      </c>
    </row>
    <row r="95">
      <c r="A95" s="7">
        <v>43453.0</v>
      </c>
      <c r="B95" s="11">
        <v>26.9035</v>
      </c>
      <c r="C95" s="65">
        <f t="shared" si="3"/>
        <v>0.01446843491</v>
      </c>
      <c r="D95" s="42">
        <v>10951.7</v>
      </c>
      <c r="E95" s="40">
        <f t="shared" si="4"/>
        <v>-0.001422410256</v>
      </c>
      <c r="F95" s="43">
        <v>7.272</v>
      </c>
      <c r="G95" s="49">
        <f t="shared" si="1"/>
        <v>0.07272</v>
      </c>
      <c r="H95" s="50">
        <f t="shared" si="2"/>
        <v>0.0001923403553</v>
      </c>
      <c r="I95" s="51">
        <f t="shared" si="5"/>
        <v>0.007090637951</v>
      </c>
    </row>
    <row r="96">
      <c r="A96" s="7">
        <v>43454.0</v>
      </c>
      <c r="B96" s="11">
        <v>26.775</v>
      </c>
      <c r="C96" s="65">
        <f t="shared" si="3"/>
        <v>-0.004776330217</v>
      </c>
      <c r="D96" s="42">
        <v>10754.0</v>
      </c>
      <c r="E96" s="40">
        <f t="shared" si="4"/>
        <v>-0.01805199193</v>
      </c>
      <c r="F96" s="43">
        <v>7.276</v>
      </c>
      <c r="G96" s="49">
        <f t="shared" si="1"/>
        <v>0.07276</v>
      </c>
      <c r="H96" s="50">
        <f t="shared" si="2"/>
        <v>0.000192442533</v>
      </c>
      <c r="I96" s="51">
        <f t="shared" si="5"/>
        <v>0.0005312339052</v>
      </c>
    </row>
    <row r="97">
      <c r="A97" s="7">
        <v>43455.0</v>
      </c>
      <c r="B97" s="11">
        <v>26.3895</v>
      </c>
      <c r="C97" s="65">
        <f t="shared" si="3"/>
        <v>-0.0143977591</v>
      </c>
      <c r="D97" s="42">
        <v>10663.5</v>
      </c>
      <c r="E97" s="40">
        <f t="shared" si="4"/>
        <v>-0.008415473312</v>
      </c>
      <c r="F97" s="43">
        <v>7.287</v>
      </c>
      <c r="G97" s="49">
        <f t="shared" si="1"/>
        <v>0.07287</v>
      </c>
      <c r="H97" s="50">
        <f t="shared" si="2"/>
        <v>0.0001927235021</v>
      </c>
      <c r="I97" s="51">
        <f t="shared" si="5"/>
        <v>0.001460015777</v>
      </c>
    </row>
    <row r="98">
      <c r="A98" s="7">
        <v>43458.0</v>
      </c>
      <c r="B98" s="11">
        <v>26.1541</v>
      </c>
      <c r="C98" s="65">
        <f t="shared" si="3"/>
        <v>-0.008920214479</v>
      </c>
      <c r="D98" s="42">
        <v>10729.85</v>
      </c>
      <c r="E98" s="40">
        <f t="shared" si="4"/>
        <v>0.006222159704</v>
      </c>
      <c r="F98" s="43">
        <v>7.263</v>
      </c>
      <c r="G98" s="49">
        <f t="shared" si="1"/>
        <v>0.07263</v>
      </c>
      <c r="H98" s="50">
        <f t="shared" si="2"/>
        <v>0.0001921104415</v>
      </c>
      <c r="I98" s="51">
        <f t="shared" si="5"/>
        <v>-0.003181037102</v>
      </c>
    </row>
    <row r="99">
      <c r="A99" s="7">
        <v>43460.0</v>
      </c>
      <c r="B99" s="11">
        <v>26.2155</v>
      </c>
      <c r="C99" s="65">
        <f t="shared" si="3"/>
        <v>0.002347624273</v>
      </c>
      <c r="D99" s="42">
        <v>10779.8</v>
      </c>
      <c r="E99" s="40">
        <f t="shared" si="4"/>
        <v>0.004655237492</v>
      </c>
      <c r="F99" s="43">
        <v>7.277</v>
      </c>
      <c r="G99" s="49">
        <f t="shared" si="1"/>
        <v>0.07277</v>
      </c>
      <c r="H99" s="50">
        <f t="shared" si="2"/>
        <v>0.0001924680768</v>
      </c>
      <c r="I99" s="51">
        <f t="shared" si="5"/>
        <v>0.001861613087</v>
      </c>
    </row>
    <row r="100">
      <c r="A100" s="7">
        <v>43461.0</v>
      </c>
      <c r="B100" s="11">
        <v>26.2309</v>
      </c>
      <c r="C100" s="65">
        <f t="shared" si="3"/>
        <v>0.000587438729</v>
      </c>
      <c r="D100" s="42">
        <v>10859.9</v>
      </c>
      <c r="E100" s="40">
        <f t="shared" si="4"/>
        <v>0.007430564574</v>
      </c>
      <c r="F100" s="43">
        <v>7.391</v>
      </c>
      <c r="G100" s="49">
        <f t="shared" si="1"/>
        <v>0.07391</v>
      </c>
      <c r="H100" s="50">
        <f t="shared" si="2"/>
        <v>0.0001953785187</v>
      </c>
      <c r="I100" s="51">
        <f t="shared" si="5"/>
        <v>0.01512168608</v>
      </c>
    </row>
    <row r="101">
      <c r="A101" s="7">
        <v>43462.0</v>
      </c>
      <c r="B101" s="11">
        <v>26.4974</v>
      </c>
      <c r="C101" s="65">
        <f t="shared" si="3"/>
        <v>0.0101597734</v>
      </c>
      <c r="D101" s="42">
        <v>10862.55</v>
      </c>
      <c r="E101" s="40">
        <f t="shared" si="4"/>
        <v>0.0002440169799</v>
      </c>
      <c r="F101" s="43">
        <v>7.37</v>
      </c>
      <c r="G101" s="49">
        <f t="shared" si="1"/>
        <v>0.0737</v>
      </c>
      <c r="H101" s="50">
        <f t="shared" si="2"/>
        <v>0.0001948426162</v>
      </c>
      <c r="I101" s="51">
        <f t="shared" si="5"/>
        <v>-0.002742893368</v>
      </c>
    </row>
    <row r="102">
      <c r="A102" s="7">
        <v>43465.0</v>
      </c>
      <c r="B102" s="11">
        <v>26.513</v>
      </c>
      <c r="C102" s="65">
        <f t="shared" si="3"/>
        <v>0.0005887370082</v>
      </c>
      <c r="D102" s="42">
        <v>10910.1</v>
      </c>
      <c r="E102" s="40">
        <f t="shared" si="4"/>
        <v>0.00437742519</v>
      </c>
      <c r="F102" s="43">
        <v>7.418</v>
      </c>
      <c r="G102" s="49">
        <f t="shared" si="1"/>
        <v>0.07418</v>
      </c>
      <c r="H102" s="50">
        <f t="shared" si="2"/>
        <v>0.0001960673826</v>
      </c>
      <c r="I102" s="51">
        <f t="shared" si="5"/>
        <v>0.006285926319</v>
      </c>
    </row>
    <row r="103">
      <c r="A103" s="13">
        <v>43466.0</v>
      </c>
      <c r="B103" s="11">
        <v>26.5218</v>
      </c>
      <c r="C103" s="65">
        <f t="shared" si="3"/>
        <v>0.0003319126466</v>
      </c>
      <c r="D103" s="42">
        <v>10792.5</v>
      </c>
      <c r="E103" s="40">
        <f t="shared" si="4"/>
        <v>-0.01077900294</v>
      </c>
      <c r="F103" s="43">
        <v>7.354</v>
      </c>
      <c r="G103" s="49">
        <f t="shared" si="1"/>
        <v>0.07354</v>
      </c>
      <c r="H103" s="50">
        <f t="shared" si="2"/>
        <v>0.0001944342394</v>
      </c>
      <c r="I103" s="51">
        <f t="shared" si="5"/>
        <v>-0.008329499253</v>
      </c>
    </row>
    <row r="104">
      <c r="A104" s="13">
        <v>43467.0</v>
      </c>
      <c r="B104" s="11">
        <v>26.3404</v>
      </c>
      <c r="C104" s="65">
        <f t="shared" si="3"/>
        <v>-0.006839656434</v>
      </c>
      <c r="D104" s="42">
        <v>10672.25</v>
      </c>
      <c r="E104" s="40">
        <f t="shared" si="4"/>
        <v>-0.01114199676</v>
      </c>
      <c r="F104" s="43">
        <v>7.427</v>
      </c>
      <c r="G104" s="49">
        <f t="shared" si="1"/>
        <v>0.07427</v>
      </c>
      <c r="H104" s="50">
        <f t="shared" si="2"/>
        <v>0.0001962969655</v>
      </c>
      <c r="I104" s="51">
        <f t="shared" si="5"/>
        <v>0.009580236719</v>
      </c>
    </row>
    <row r="105">
      <c r="A105" s="13">
        <v>43468.0</v>
      </c>
      <c r="B105" s="11">
        <v>26.2274</v>
      </c>
      <c r="C105" s="65">
        <f t="shared" si="3"/>
        <v>-0.004289988003</v>
      </c>
      <c r="D105" s="42">
        <v>10727.35</v>
      </c>
      <c r="E105" s="40">
        <f t="shared" si="4"/>
        <v>0.005162922533</v>
      </c>
      <c r="F105" s="43">
        <v>7.448</v>
      </c>
      <c r="G105" s="49">
        <f t="shared" si="1"/>
        <v>0.07448</v>
      </c>
      <c r="H105" s="50">
        <f t="shared" si="2"/>
        <v>0.0001968325844</v>
      </c>
      <c r="I105" s="51">
        <f t="shared" si="5"/>
        <v>0.002728615303</v>
      </c>
    </row>
    <row r="106">
      <c r="A106" s="13">
        <v>43469.0</v>
      </c>
      <c r="B106" s="11">
        <v>26.4301</v>
      </c>
      <c r="C106" s="65">
        <f t="shared" si="3"/>
        <v>0.007728558683</v>
      </c>
      <c r="D106" s="42">
        <v>10771.8</v>
      </c>
      <c r="E106" s="40">
        <f t="shared" si="4"/>
        <v>0.00414361422</v>
      </c>
      <c r="F106" s="43">
        <v>7.508</v>
      </c>
      <c r="G106" s="49">
        <f t="shared" si="1"/>
        <v>0.07508</v>
      </c>
      <c r="H106" s="50">
        <f t="shared" si="2"/>
        <v>0.0001983623491</v>
      </c>
      <c r="I106" s="51">
        <f t="shared" si="5"/>
        <v>0.007771907681</v>
      </c>
    </row>
    <row r="107">
      <c r="A107" s="13">
        <v>43472.0</v>
      </c>
      <c r="B107" s="11">
        <v>26.375</v>
      </c>
      <c r="C107" s="65">
        <f t="shared" si="3"/>
        <v>-0.002084744288</v>
      </c>
      <c r="D107" s="42">
        <v>10802.15</v>
      </c>
      <c r="E107" s="40">
        <f t="shared" si="4"/>
        <v>0.002817542101</v>
      </c>
      <c r="F107" s="43">
        <v>7.454</v>
      </c>
      <c r="G107" s="49">
        <f t="shared" si="1"/>
        <v>0.07454</v>
      </c>
      <c r="H107" s="50">
        <f t="shared" si="2"/>
        <v>0.0001969855992</v>
      </c>
      <c r="I107" s="51">
        <f t="shared" si="5"/>
        <v>-0.006940580626</v>
      </c>
    </row>
    <row r="108">
      <c r="A108" s="13">
        <v>43473.0</v>
      </c>
      <c r="B108" s="11">
        <v>26.6135</v>
      </c>
      <c r="C108" s="65">
        <f t="shared" si="3"/>
        <v>0.009042654028</v>
      </c>
      <c r="D108" s="42">
        <v>10855.15</v>
      </c>
      <c r="E108" s="40">
        <f t="shared" si="4"/>
        <v>0.004906430664</v>
      </c>
      <c r="F108" s="43">
        <v>7.47</v>
      </c>
      <c r="G108" s="49">
        <f t="shared" si="1"/>
        <v>0.0747</v>
      </c>
      <c r="H108" s="50">
        <f t="shared" si="2"/>
        <v>0.000197393597</v>
      </c>
      <c r="I108" s="51">
        <f t="shared" si="5"/>
        <v>0.002071206269</v>
      </c>
    </row>
    <row r="109">
      <c r="A109" s="13">
        <v>43474.0</v>
      </c>
      <c r="B109" s="11">
        <v>26.7029</v>
      </c>
      <c r="C109" s="65">
        <f t="shared" si="3"/>
        <v>0.0033591974</v>
      </c>
      <c r="D109" s="42">
        <v>10821.6</v>
      </c>
      <c r="E109" s="40">
        <f t="shared" si="4"/>
        <v>-0.003090698885</v>
      </c>
      <c r="F109" s="43">
        <v>7.476</v>
      </c>
      <c r="G109" s="49">
        <f t="shared" si="1"/>
        <v>0.07476</v>
      </c>
      <c r="H109" s="50">
        <f t="shared" si="2"/>
        <v>0.0001975465806</v>
      </c>
      <c r="I109" s="51">
        <f t="shared" si="5"/>
        <v>0.0007750178489</v>
      </c>
    </row>
    <row r="110">
      <c r="A110" s="7">
        <v>43475.0</v>
      </c>
      <c r="B110" s="11">
        <v>26.6731</v>
      </c>
      <c r="C110" s="65">
        <f t="shared" si="3"/>
        <v>-0.001115983657</v>
      </c>
      <c r="D110" s="42">
        <v>10794.95</v>
      </c>
      <c r="E110" s="40">
        <f t="shared" si="4"/>
        <v>-0.002462667258</v>
      </c>
      <c r="F110" s="43">
        <v>7.503</v>
      </c>
      <c r="G110" s="49">
        <f t="shared" si="1"/>
        <v>0.07503</v>
      </c>
      <c r="H110" s="50">
        <f t="shared" si="2"/>
        <v>0.0001982349012</v>
      </c>
      <c r="I110" s="51">
        <f t="shared" si="5"/>
        <v>0.003484346021</v>
      </c>
    </row>
    <row r="111">
      <c r="A111" s="7">
        <v>43476.0</v>
      </c>
      <c r="B111" s="11">
        <v>26.7083</v>
      </c>
      <c r="C111" s="65">
        <f t="shared" si="3"/>
        <v>0.001319681627</v>
      </c>
      <c r="D111" s="42">
        <v>10737.6</v>
      </c>
      <c r="E111" s="40">
        <f t="shared" si="4"/>
        <v>-0.00531266935</v>
      </c>
      <c r="F111" s="43">
        <v>7.431</v>
      </c>
      <c r="G111" s="49">
        <f t="shared" si="1"/>
        <v>0.07431</v>
      </c>
      <c r="H111" s="50">
        <f t="shared" si="2"/>
        <v>0.0001963989962</v>
      </c>
      <c r="I111" s="51">
        <f t="shared" si="5"/>
        <v>-0.009261260267</v>
      </c>
    </row>
    <row r="112">
      <c r="A112" s="7">
        <v>43479.0</v>
      </c>
      <c r="B112" s="11">
        <v>26.639</v>
      </c>
      <c r="C112" s="65">
        <f t="shared" si="3"/>
        <v>-0.002594699026</v>
      </c>
      <c r="D112" s="42">
        <v>10886.8</v>
      </c>
      <c r="E112" s="40">
        <f t="shared" si="4"/>
        <v>0.0138950976</v>
      </c>
      <c r="F112" s="43">
        <v>7.473</v>
      </c>
      <c r="G112" s="49">
        <f t="shared" si="1"/>
        <v>0.07473</v>
      </c>
      <c r="H112" s="50">
        <f t="shared" si="2"/>
        <v>0.0001974700898</v>
      </c>
      <c r="I112" s="51">
        <f t="shared" si="5"/>
        <v>0.005453661563</v>
      </c>
    </row>
    <row r="113">
      <c r="A113" s="7">
        <v>43480.0</v>
      </c>
      <c r="B113" s="11">
        <v>26.7601</v>
      </c>
      <c r="C113" s="65">
        <f t="shared" si="3"/>
        <v>0.00454596644</v>
      </c>
      <c r="D113" s="42">
        <v>10890.3</v>
      </c>
      <c r="E113" s="40">
        <f t="shared" si="4"/>
        <v>0.0003214902451</v>
      </c>
      <c r="F113" s="43">
        <v>7.563</v>
      </c>
      <c r="G113" s="49">
        <f t="shared" si="1"/>
        <v>0.07563</v>
      </c>
      <c r="H113" s="50">
        <f t="shared" si="2"/>
        <v>0.0001997638856</v>
      </c>
      <c r="I113" s="51">
        <f t="shared" si="5"/>
        <v>0.01161591483</v>
      </c>
    </row>
    <row r="114">
      <c r="A114" s="7">
        <v>43481.0</v>
      </c>
      <c r="B114" s="11">
        <v>26.7765</v>
      </c>
      <c r="C114" s="65">
        <f t="shared" si="3"/>
        <v>0.0006128527173</v>
      </c>
      <c r="D114" s="42">
        <v>10905.2</v>
      </c>
      <c r="E114" s="40">
        <f t="shared" si="4"/>
        <v>0.001368190041</v>
      </c>
      <c r="F114" s="43">
        <v>7.549</v>
      </c>
      <c r="G114" s="49">
        <f t="shared" si="1"/>
        <v>0.07549</v>
      </c>
      <c r="H114" s="50">
        <f t="shared" si="2"/>
        <v>0.0001994071986</v>
      </c>
      <c r="I114" s="51">
        <f t="shared" si="5"/>
        <v>-0.001785542627</v>
      </c>
    </row>
    <row r="115">
      <c r="A115" s="7">
        <v>43482.0</v>
      </c>
      <c r="B115" s="11">
        <v>26.698</v>
      </c>
      <c r="C115" s="65">
        <f t="shared" si="3"/>
        <v>-0.002931675163</v>
      </c>
      <c r="D115" s="42">
        <v>10906.95</v>
      </c>
      <c r="E115" s="40">
        <f t="shared" si="4"/>
        <v>0.0001604739024</v>
      </c>
      <c r="F115" s="43">
        <v>7.596</v>
      </c>
      <c r="G115" s="49">
        <f t="shared" si="1"/>
        <v>0.07596</v>
      </c>
      <c r="H115" s="50">
        <f t="shared" si="2"/>
        <v>0.0002006044645</v>
      </c>
      <c r="I115" s="51">
        <f t="shared" si="5"/>
        <v>0.006004125465</v>
      </c>
    </row>
    <row r="116">
      <c r="A116" s="7">
        <v>43483.0</v>
      </c>
      <c r="B116" s="11">
        <v>26.5077</v>
      </c>
      <c r="C116" s="65">
        <f t="shared" si="3"/>
        <v>-0.007127874747</v>
      </c>
      <c r="D116" s="42">
        <v>10961.85</v>
      </c>
      <c r="E116" s="40">
        <f t="shared" si="4"/>
        <v>0.005033487822</v>
      </c>
      <c r="F116" s="43">
        <v>7.569</v>
      </c>
      <c r="G116" s="49">
        <f t="shared" si="1"/>
        <v>0.07569</v>
      </c>
      <c r="H116" s="50">
        <f t="shared" si="2"/>
        <v>0.0001999167372</v>
      </c>
      <c r="I116" s="51">
        <f t="shared" si="5"/>
        <v>-0.0034282749</v>
      </c>
    </row>
    <row r="117">
      <c r="A117" s="7">
        <v>43486.0</v>
      </c>
      <c r="B117" s="11">
        <v>26.3357</v>
      </c>
      <c r="C117" s="65">
        <f t="shared" si="3"/>
        <v>-0.006488680648</v>
      </c>
      <c r="D117" s="42">
        <v>10922.75</v>
      </c>
      <c r="E117" s="40">
        <f t="shared" si="4"/>
        <v>-0.003566916168</v>
      </c>
      <c r="F117" s="43">
        <v>7.533</v>
      </c>
      <c r="G117" s="49">
        <f t="shared" si="1"/>
        <v>0.07533</v>
      </c>
      <c r="H117" s="50">
        <f t="shared" si="2"/>
        <v>0.0001989994997</v>
      </c>
      <c r="I117" s="51">
        <f t="shared" si="5"/>
        <v>-0.004588097595</v>
      </c>
    </row>
    <row r="118">
      <c r="A118" s="7">
        <v>43487.0</v>
      </c>
      <c r="B118" s="11">
        <v>26.2269</v>
      </c>
      <c r="C118" s="65">
        <f t="shared" si="3"/>
        <v>-0.004131274278</v>
      </c>
      <c r="D118" s="42">
        <v>10831.5</v>
      </c>
      <c r="E118" s="40">
        <f t="shared" si="4"/>
        <v>-0.008354123275</v>
      </c>
      <c r="F118" s="43">
        <v>7.577</v>
      </c>
      <c r="G118" s="49">
        <f t="shared" si="1"/>
        <v>0.07577</v>
      </c>
      <c r="H118" s="50">
        <f t="shared" si="2"/>
        <v>0.0002001205262</v>
      </c>
      <c r="I118" s="51">
        <f t="shared" si="5"/>
        <v>0.005633313074</v>
      </c>
    </row>
    <row r="119">
      <c r="A119" s="7">
        <v>43488.0</v>
      </c>
      <c r="B119" s="11">
        <v>26.0055</v>
      </c>
      <c r="C119" s="65">
        <f t="shared" si="3"/>
        <v>-0.008441714423</v>
      </c>
      <c r="D119" s="42">
        <v>10849.8</v>
      </c>
      <c r="E119" s="40">
        <f t="shared" si="4"/>
        <v>0.001689516687</v>
      </c>
      <c r="F119" s="43">
        <v>7.557</v>
      </c>
      <c r="G119" s="49">
        <f t="shared" si="1"/>
        <v>0.07557</v>
      </c>
      <c r="H119" s="50">
        <f t="shared" si="2"/>
        <v>0.0001996110254</v>
      </c>
      <c r="I119" s="51">
        <f t="shared" si="5"/>
        <v>-0.002545969706</v>
      </c>
    </row>
    <row r="120">
      <c r="A120" s="7">
        <v>43489.0</v>
      </c>
      <c r="B120" s="11">
        <v>26.0216</v>
      </c>
      <c r="C120" s="65">
        <f t="shared" si="3"/>
        <v>0.0006190998058</v>
      </c>
      <c r="D120" s="42">
        <v>10780.55</v>
      </c>
      <c r="E120" s="40">
        <f t="shared" si="4"/>
        <v>-0.006382606131</v>
      </c>
      <c r="F120" s="43">
        <v>7.546</v>
      </c>
      <c r="G120" s="49">
        <f t="shared" si="1"/>
        <v>0.07546</v>
      </c>
      <c r="H120" s="50">
        <f t="shared" si="2"/>
        <v>0.0001993307597</v>
      </c>
      <c r="I120" s="51">
        <f t="shared" si="5"/>
        <v>-0.001404059279</v>
      </c>
    </row>
    <row r="121">
      <c r="A121" s="7">
        <v>43490.0</v>
      </c>
      <c r="B121" s="11">
        <v>25.6953</v>
      </c>
      <c r="C121" s="65">
        <f t="shared" si="3"/>
        <v>-0.0125395825</v>
      </c>
      <c r="D121" s="42">
        <v>10661.55</v>
      </c>
      <c r="E121" s="40">
        <f t="shared" si="4"/>
        <v>-0.01103839786</v>
      </c>
      <c r="F121" s="43">
        <v>7.541</v>
      </c>
      <c r="G121" s="49">
        <f t="shared" si="1"/>
        <v>0.07541</v>
      </c>
      <c r="H121" s="50">
        <f t="shared" si="2"/>
        <v>0.0001992033568</v>
      </c>
      <c r="I121" s="51">
        <f t="shared" si="5"/>
        <v>-0.0006391535174</v>
      </c>
    </row>
    <row r="122">
      <c r="A122" s="7">
        <v>43493.0</v>
      </c>
      <c r="B122" s="11">
        <v>25.1873</v>
      </c>
      <c r="C122" s="65">
        <f t="shared" si="3"/>
        <v>-0.01977015252</v>
      </c>
      <c r="D122" s="42">
        <v>10652.2</v>
      </c>
      <c r="E122" s="40">
        <f t="shared" si="4"/>
        <v>-0.0008769831779</v>
      </c>
      <c r="F122" s="43">
        <v>7.525</v>
      </c>
      <c r="G122" s="49">
        <f t="shared" si="1"/>
        <v>0.07525</v>
      </c>
      <c r="H122" s="50">
        <f t="shared" si="2"/>
        <v>0.0001987956276</v>
      </c>
      <c r="I122" s="51">
        <f t="shared" si="5"/>
        <v>-0.002046798643</v>
      </c>
    </row>
    <row r="123">
      <c r="A123" s="7">
        <v>43494.0</v>
      </c>
      <c r="B123" s="11">
        <v>25.3371</v>
      </c>
      <c r="C123" s="65">
        <f t="shared" si="3"/>
        <v>0.005947441766</v>
      </c>
      <c r="D123" s="42">
        <v>10651.8</v>
      </c>
      <c r="E123" s="40">
        <f t="shared" si="4"/>
        <v>-0.00003755092845</v>
      </c>
      <c r="F123" s="43">
        <v>7.551</v>
      </c>
      <c r="G123" s="49">
        <f t="shared" si="1"/>
        <v>0.07551</v>
      </c>
      <c r="H123" s="50">
        <f t="shared" si="2"/>
        <v>0.0001994581568</v>
      </c>
      <c r="I123" s="51">
        <f t="shared" si="5"/>
        <v>0.003332714979</v>
      </c>
    </row>
    <row r="124">
      <c r="A124" s="7">
        <v>43495.0</v>
      </c>
      <c r="B124" s="11">
        <v>25.6514</v>
      </c>
      <c r="C124" s="65">
        <f t="shared" si="3"/>
        <v>0.01240473456</v>
      </c>
      <c r="D124" s="42">
        <v>10830.95</v>
      </c>
      <c r="E124" s="40">
        <f t="shared" si="4"/>
        <v>0.01681875364</v>
      </c>
      <c r="F124" s="43">
        <v>7.483</v>
      </c>
      <c r="G124" s="49">
        <f t="shared" si="1"/>
        <v>0.07483</v>
      </c>
      <c r="H124" s="50">
        <f t="shared" si="2"/>
        <v>0.0001977250506</v>
      </c>
      <c r="I124" s="51">
        <f t="shared" si="5"/>
        <v>-0.008689071324</v>
      </c>
    </row>
    <row r="125">
      <c r="A125" s="7">
        <v>43496.0</v>
      </c>
      <c r="B125" s="11">
        <v>25.8504</v>
      </c>
      <c r="C125" s="65">
        <f t="shared" si="3"/>
        <v>0.007757861169</v>
      </c>
      <c r="D125" s="42">
        <v>10893.65</v>
      </c>
      <c r="E125" s="40">
        <f t="shared" si="4"/>
        <v>0.00578896588</v>
      </c>
      <c r="F125" s="43">
        <v>7.61</v>
      </c>
      <c r="G125" s="49">
        <f t="shared" si="1"/>
        <v>0.0761</v>
      </c>
      <c r="H125" s="50">
        <f t="shared" si="2"/>
        <v>0.000200960996</v>
      </c>
      <c r="I125" s="51">
        <f t="shared" si="5"/>
        <v>0.01636588501</v>
      </c>
    </row>
    <row r="126">
      <c r="A126" s="13">
        <v>43497.0</v>
      </c>
      <c r="B126" s="11">
        <v>25.7768</v>
      </c>
      <c r="C126" s="65">
        <f t="shared" si="3"/>
        <v>-0.002847151301</v>
      </c>
      <c r="D126" s="42">
        <v>10912.25</v>
      </c>
      <c r="E126" s="40">
        <f t="shared" si="4"/>
        <v>0.001707416706</v>
      </c>
      <c r="F126" s="43">
        <v>7.672</v>
      </c>
      <c r="G126" s="49">
        <f t="shared" si="1"/>
        <v>0.07672</v>
      </c>
      <c r="H126" s="50">
        <f t="shared" si="2"/>
        <v>0.0002025393657</v>
      </c>
      <c r="I126" s="51">
        <f t="shared" si="5"/>
        <v>0.007854109446</v>
      </c>
    </row>
    <row r="127">
      <c r="A127" s="13">
        <v>43500.0</v>
      </c>
      <c r="B127" s="11">
        <v>25.6174</v>
      </c>
      <c r="C127" s="65">
        <f t="shared" si="3"/>
        <v>-0.00618385525</v>
      </c>
      <c r="D127" s="42">
        <v>10934.35</v>
      </c>
      <c r="E127" s="40">
        <f t="shared" si="4"/>
        <v>0.002025246856</v>
      </c>
      <c r="F127" s="43">
        <v>7.615</v>
      </c>
      <c r="G127" s="49">
        <f t="shared" si="1"/>
        <v>0.07615</v>
      </c>
      <c r="H127" s="50">
        <f t="shared" si="2"/>
        <v>0.0002010883175</v>
      </c>
      <c r="I127" s="51">
        <f t="shared" si="5"/>
        <v>-0.007164277235</v>
      </c>
    </row>
    <row r="128">
      <c r="A128" s="13">
        <v>43501.0</v>
      </c>
      <c r="B128" s="11">
        <v>25.5816</v>
      </c>
      <c r="C128" s="65">
        <f t="shared" si="3"/>
        <v>-0.001397487645</v>
      </c>
      <c r="D128" s="42">
        <v>11062.45</v>
      </c>
      <c r="E128" s="40">
        <f t="shared" si="4"/>
        <v>0.01171537403</v>
      </c>
      <c r="F128" s="43">
        <v>7.565</v>
      </c>
      <c r="G128" s="49">
        <f t="shared" si="1"/>
        <v>0.07565</v>
      </c>
      <c r="H128" s="50">
        <f t="shared" si="2"/>
        <v>0.0001998148371</v>
      </c>
      <c r="I128" s="51">
        <f t="shared" si="5"/>
        <v>-0.006332941058</v>
      </c>
    </row>
    <row r="129">
      <c r="A129" s="13">
        <v>43502.0</v>
      </c>
      <c r="B129" s="11">
        <v>25.7309</v>
      </c>
      <c r="C129" s="65">
        <f t="shared" si="3"/>
        <v>0.005836226037</v>
      </c>
      <c r="D129" s="42">
        <v>11069.4</v>
      </c>
      <c r="E129" s="40">
        <f t="shared" si="4"/>
        <v>0.0006282514271</v>
      </c>
      <c r="F129" s="43">
        <v>7.501</v>
      </c>
      <c r="G129" s="49">
        <f t="shared" si="1"/>
        <v>0.07501</v>
      </c>
      <c r="H129" s="50">
        <f t="shared" si="2"/>
        <v>0.0001981839204</v>
      </c>
      <c r="I129" s="51">
        <f t="shared" si="5"/>
        <v>-0.008162140057</v>
      </c>
    </row>
    <row r="130">
      <c r="A130" s="13">
        <v>43503.0</v>
      </c>
      <c r="B130" s="11">
        <v>25.9615</v>
      </c>
      <c r="C130" s="65">
        <f t="shared" si="3"/>
        <v>0.008961987338</v>
      </c>
      <c r="D130" s="42">
        <v>10943.6</v>
      </c>
      <c r="E130" s="40">
        <f t="shared" si="4"/>
        <v>-0.01136466294</v>
      </c>
      <c r="F130" s="43">
        <v>7.524</v>
      </c>
      <c r="G130" s="49">
        <f t="shared" si="1"/>
        <v>0.07524</v>
      </c>
      <c r="H130" s="50">
        <f t="shared" si="2"/>
        <v>0.0001987701425</v>
      </c>
      <c r="I130" s="51">
        <f t="shared" si="5"/>
        <v>0.002957970145</v>
      </c>
    </row>
    <row r="131">
      <c r="A131" s="13">
        <v>43504.0</v>
      </c>
      <c r="B131" s="11">
        <v>25.5763</v>
      </c>
      <c r="C131" s="65">
        <f t="shared" si="3"/>
        <v>-0.01483735531</v>
      </c>
      <c r="D131" s="42">
        <v>10888.8</v>
      </c>
      <c r="E131" s="40">
        <f t="shared" si="4"/>
        <v>-0.005007492964</v>
      </c>
      <c r="F131" s="43">
        <v>7.529</v>
      </c>
      <c r="G131" s="49">
        <f t="shared" si="1"/>
        <v>0.07529</v>
      </c>
      <c r="H131" s="50">
        <f t="shared" si="2"/>
        <v>0.0001988975656</v>
      </c>
      <c r="I131" s="51">
        <f t="shared" si="5"/>
        <v>0.0006410572626</v>
      </c>
    </row>
    <row r="132">
      <c r="A132" s="7">
        <v>43507.0</v>
      </c>
      <c r="B132" s="11">
        <v>25.0175</v>
      </c>
      <c r="C132" s="65">
        <f t="shared" si="3"/>
        <v>-0.02184835179</v>
      </c>
      <c r="D132" s="42">
        <v>10831.4</v>
      </c>
      <c r="E132" s="40">
        <f t="shared" si="4"/>
        <v>-0.005271471604</v>
      </c>
      <c r="F132" s="43">
        <v>7.534</v>
      </c>
      <c r="G132" s="49">
        <f t="shared" si="1"/>
        <v>0.07534</v>
      </c>
      <c r="H132" s="50">
        <f t="shared" si="2"/>
        <v>0.0001990249827</v>
      </c>
      <c r="I132" s="51">
        <f t="shared" si="5"/>
        <v>0.0006406168647</v>
      </c>
    </row>
    <row r="133">
      <c r="A133" s="7">
        <v>43508.0</v>
      </c>
      <c r="B133" s="11">
        <v>24.8842</v>
      </c>
      <c r="C133" s="65">
        <f t="shared" si="3"/>
        <v>-0.005328270211</v>
      </c>
      <c r="D133" s="42">
        <v>10793.65</v>
      </c>
      <c r="E133" s="40">
        <f t="shared" si="4"/>
        <v>-0.003485237365</v>
      </c>
      <c r="F133" s="43">
        <v>7.466</v>
      </c>
      <c r="G133" s="49">
        <f t="shared" si="1"/>
        <v>0.07466</v>
      </c>
      <c r="H133" s="50">
        <f t="shared" si="2"/>
        <v>0.0001972916032</v>
      </c>
      <c r="I133" s="51">
        <f t="shared" si="5"/>
        <v>-0.008709356225</v>
      </c>
    </row>
    <row r="134">
      <c r="A134" s="7">
        <v>43509.0</v>
      </c>
      <c r="B134" s="11">
        <v>24.7398</v>
      </c>
      <c r="C134" s="65">
        <f t="shared" si="3"/>
        <v>-0.005802878935</v>
      </c>
      <c r="D134" s="42">
        <v>10746.05</v>
      </c>
      <c r="E134" s="40">
        <f t="shared" si="4"/>
        <v>-0.004410000324</v>
      </c>
      <c r="F134" s="43">
        <v>7.521</v>
      </c>
      <c r="G134" s="49">
        <f t="shared" si="1"/>
        <v>0.07521</v>
      </c>
      <c r="H134" s="50">
        <f t="shared" si="2"/>
        <v>0.0001986936858</v>
      </c>
      <c r="I134" s="51">
        <f t="shared" si="5"/>
        <v>0.007106651313</v>
      </c>
    </row>
    <row r="135">
      <c r="A135" s="7">
        <v>43510.0</v>
      </c>
      <c r="B135" s="11">
        <v>24.7787</v>
      </c>
      <c r="C135" s="65">
        <f t="shared" si="3"/>
        <v>0.001572365177</v>
      </c>
      <c r="D135" s="42">
        <v>10724.4</v>
      </c>
      <c r="E135" s="40">
        <f t="shared" si="4"/>
        <v>-0.002014693771</v>
      </c>
      <c r="F135" s="43">
        <v>7.577</v>
      </c>
      <c r="G135" s="49">
        <f t="shared" si="1"/>
        <v>0.07577</v>
      </c>
      <c r="H135" s="50">
        <f t="shared" si="2"/>
        <v>0.0002001205262</v>
      </c>
      <c r="I135" s="51">
        <f t="shared" si="5"/>
        <v>0.007181105751</v>
      </c>
    </row>
    <row r="136">
      <c r="A136" s="7">
        <v>43511.0</v>
      </c>
      <c r="B136" s="11">
        <v>24.4919</v>
      </c>
      <c r="C136" s="65">
        <f t="shared" si="3"/>
        <v>-0.01157445709</v>
      </c>
      <c r="D136" s="42">
        <v>10640.95</v>
      </c>
      <c r="E136" s="40">
        <f t="shared" si="4"/>
        <v>-0.0077813211</v>
      </c>
      <c r="F136" s="43">
        <v>7.58</v>
      </c>
      <c r="G136" s="49">
        <f t="shared" si="1"/>
        <v>0.0758</v>
      </c>
      <c r="H136" s="50">
        <f t="shared" si="2"/>
        <v>0.0002001969432</v>
      </c>
      <c r="I136" s="51">
        <f t="shared" si="5"/>
        <v>0.0003818547429</v>
      </c>
    </row>
    <row r="137">
      <c r="A137" s="7">
        <v>43514.0</v>
      </c>
      <c r="B137" s="11">
        <v>24.3723</v>
      </c>
      <c r="C137" s="65">
        <f t="shared" si="3"/>
        <v>-0.004883247114</v>
      </c>
      <c r="D137" s="42">
        <v>10735.45</v>
      </c>
      <c r="E137" s="40">
        <f t="shared" si="4"/>
        <v>0.00888078602</v>
      </c>
      <c r="F137" s="43">
        <v>7.545</v>
      </c>
      <c r="G137" s="49">
        <f t="shared" si="1"/>
        <v>0.07545</v>
      </c>
      <c r="H137" s="50">
        <f t="shared" si="2"/>
        <v>0.0001993052796</v>
      </c>
      <c r="I137" s="51">
        <f t="shared" si="5"/>
        <v>-0.004453932144</v>
      </c>
    </row>
    <row r="138">
      <c r="A138" s="7">
        <v>43515.0</v>
      </c>
      <c r="B138" s="11">
        <v>24.4765</v>
      </c>
      <c r="C138" s="65">
        <f t="shared" si="3"/>
        <v>0.004275345372</v>
      </c>
      <c r="D138" s="42">
        <v>10789.85</v>
      </c>
      <c r="E138" s="40">
        <f t="shared" si="4"/>
        <v>0.00506732368</v>
      </c>
      <c r="F138" s="43">
        <v>7.544</v>
      </c>
      <c r="G138" s="49">
        <f t="shared" si="1"/>
        <v>0.07544</v>
      </c>
      <c r="H138" s="50">
        <f t="shared" si="2"/>
        <v>0.0001992797992</v>
      </c>
      <c r="I138" s="51">
        <f t="shared" si="5"/>
        <v>-0.0001278458603</v>
      </c>
    </row>
    <row r="139">
      <c r="A139" s="7">
        <v>43516.0</v>
      </c>
      <c r="B139" s="11">
        <v>24.6471</v>
      </c>
      <c r="C139" s="65">
        <f t="shared" si="3"/>
        <v>0.006969950769</v>
      </c>
      <c r="D139" s="42">
        <v>10791.65</v>
      </c>
      <c r="E139" s="40">
        <f t="shared" si="4"/>
        <v>0.0001668234498</v>
      </c>
      <c r="F139" s="43">
        <v>7.605</v>
      </c>
      <c r="G139" s="49">
        <f t="shared" si="1"/>
        <v>0.07605</v>
      </c>
      <c r="H139" s="50">
        <f t="shared" si="2"/>
        <v>0.0002008336687</v>
      </c>
      <c r="I139" s="51">
        <f t="shared" si="5"/>
        <v>0.007797425676</v>
      </c>
    </row>
    <row r="140">
      <c r="A140" s="7">
        <v>43517.0</v>
      </c>
      <c r="B140" s="11">
        <v>24.8803</v>
      </c>
      <c r="C140" s="65">
        <f t="shared" si="3"/>
        <v>0.009461559372</v>
      </c>
      <c r="D140" s="42">
        <v>10880.1</v>
      </c>
      <c r="E140" s="40">
        <f t="shared" si="4"/>
        <v>0.008196151654</v>
      </c>
      <c r="F140" s="43">
        <v>7.584</v>
      </c>
      <c r="G140" s="49">
        <f t="shared" si="1"/>
        <v>0.07584</v>
      </c>
      <c r="H140" s="50">
        <f t="shared" si="2"/>
        <v>0.0002002988292</v>
      </c>
      <c r="I140" s="51">
        <f t="shared" si="5"/>
        <v>-0.002663096687</v>
      </c>
    </row>
    <row r="141">
      <c r="A141" s="7">
        <v>43518.0</v>
      </c>
      <c r="B141" s="11">
        <v>24.8902</v>
      </c>
      <c r="C141" s="65">
        <f t="shared" si="3"/>
        <v>0.00039790517</v>
      </c>
      <c r="D141" s="42">
        <v>10835.3</v>
      </c>
      <c r="E141" s="40">
        <f t="shared" si="4"/>
        <v>-0.004117609213</v>
      </c>
      <c r="F141" s="43">
        <v>7.587</v>
      </c>
      <c r="G141" s="49">
        <f t="shared" si="1"/>
        <v>0.07587</v>
      </c>
      <c r="H141" s="50">
        <f t="shared" si="2"/>
        <v>0.0002003752412</v>
      </c>
      <c r="I141" s="51">
        <f t="shared" si="5"/>
        <v>0.0003814900662</v>
      </c>
    </row>
    <row r="142">
      <c r="A142" s="7">
        <v>43521.0</v>
      </c>
      <c r="B142" s="11">
        <v>25.1029</v>
      </c>
      <c r="C142" s="65">
        <f t="shared" si="3"/>
        <v>0.008545531976</v>
      </c>
      <c r="D142" s="42">
        <v>10806.65</v>
      </c>
      <c r="E142" s="40">
        <f t="shared" si="4"/>
        <v>-0.002644135372</v>
      </c>
      <c r="F142" s="43">
        <v>7.672</v>
      </c>
      <c r="G142" s="49">
        <f t="shared" si="1"/>
        <v>0.07672</v>
      </c>
      <c r="H142" s="50">
        <f t="shared" si="2"/>
        <v>0.0002025393657</v>
      </c>
      <c r="I142" s="51">
        <f t="shared" si="5"/>
        <v>0.01080035886</v>
      </c>
    </row>
    <row r="143">
      <c r="A143" s="7">
        <v>43522.0</v>
      </c>
      <c r="B143" s="11">
        <v>24.9021</v>
      </c>
      <c r="C143" s="65">
        <f t="shared" si="3"/>
        <v>-0.007999075804</v>
      </c>
      <c r="D143" s="42">
        <v>10792.5</v>
      </c>
      <c r="E143" s="40">
        <f t="shared" si="4"/>
        <v>-0.001309378947</v>
      </c>
      <c r="F143" s="43">
        <v>7.591</v>
      </c>
      <c r="G143" s="49">
        <f t="shared" si="1"/>
        <v>0.07591</v>
      </c>
      <c r="H143" s="50">
        <f t="shared" si="2"/>
        <v>0.0002004771206</v>
      </c>
      <c r="I143" s="51">
        <f t="shared" si="5"/>
        <v>-0.01018194722</v>
      </c>
    </row>
    <row r="144">
      <c r="A144" s="7">
        <v>43523.0</v>
      </c>
      <c r="B144" s="11">
        <v>24.982</v>
      </c>
      <c r="C144" s="65">
        <f t="shared" si="3"/>
        <v>0.00320856474</v>
      </c>
      <c r="D144" s="42">
        <v>10863.5</v>
      </c>
      <c r="E144" s="40">
        <f t="shared" si="4"/>
        <v>0.006578642576</v>
      </c>
      <c r="F144" s="43">
        <v>7.556</v>
      </c>
      <c r="G144" s="49">
        <f t="shared" si="1"/>
        <v>0.07556</v>
      </c>
      <c r="H144" s="50">
        <f t="shared" si="2"/>
        <v>0.0001995855479</v>
      </c>
      <c r="I144" s="51">
        <f t="shared" si="5"/>
        <v>-0.004447253981</v>
      </c>
    </row>
    <row r="145">
      <c r="A145" s="7">
        <v>43524.0</v>
      </c>
      <c r="B145" s="11">
        <v>25.1405</v>
      </c>
      <c r="C145" s="65">
        <f t="shared" si="3"/>
        <v>0.006344568089</v>
      </c>
      <c r="D145" s="42">
        <v>10987.45</v>
      </c>
      <c r="E145" s="40">
        <f t="shared" si="4"/>
        <v>0.01140976665</v>
      </c>
      <c r="F145" s="43">
        <v>7.556</v>
      </c>
      <c r="G145" s="49">
        <f t="shared" si="1"/>
        <v>0.07556</v>
      </c>
      <c r="H145" s="50">
        <f t="shared" si="2"/>
        <v>0.0001995855479</v>
      </c>
      <c r="I145" s="51">
        <f t="shared" si="5"/>
        <v>0</v>
      </c>
    </row>
    <row r="146">
      <c r="A146" s="13">
        <v>43525.0</v>
      </c>
      <c r="B146" s="11">
        <v>25.3773</v>
      </c>
      <c r="C146" s="65">
        <f t="shared" si="3"/>
        <v>0.009419064856</v>
      </c>
      <c r="D146" s="42">
        <v>11053.0</v>
      </c>
      <c r="E146" s="40">
        <f t="shared" si="4"/>
        <v>0.005965897456</v>
      </c>
      <c r="F146" s="43">
        <v>7.572</v>
      </c>
      <c r="G146" s="49">
        <f t="shared" si="1"/>
        <v>0.07572</v>
      </c>
      <c r="H146" s="50">
        <f t="shared" si="2"/>
        <v>0.0001999931599</v>
      </c>
      <c r="I146" s="51">
        <f t="shared" si="5"/>
        <v>0.002042292033</v>
      </c>
    </row>
    <row r="147">
      <c r="A147" s="13">
        <v>43529.0</v>
      </c>
      <c r="B147" s="11">
        <v>25.9946</v>
      </c>
      <c r="C147" s="65">
        <f t="shared" si="3"/>
        <v>0.02432488878</v>
      </c>
      <c r="D147" s="42">
        <v>11058.2</v>
      </c>
      <c r="E147" s="40">
        <f t="shared" si="4"/>
        <v>0.0004704605085</v>
      </c>
      <c r="F147" s="43">
        <v>7.58</v>
      </c>
      <c r="G147" s="49">
        <f t="shared" si="1"/>
        <v>0.0758</v>
      </c>
      <c r="H147" s="50">
        <f t="shared" si="2"/>
        <v>0.0002001969432</v>
      </c>
      <c r="I147" s="51">
        <f t="shared" si="5"/>
        <v>0.001018951423</v>
      </c>
    </row>
    <row r="148">
      <c r="A148" s="13">
        <v>43530.0</v>
      </c>
      <c r="B148" s="11">
        <v>26.1987</v>
      </c>
      <c r="C148" s="65">
        <f t="shared" si="3"/>
        <v>0.007851630723</v>
      </c>
      <c r="D148" s="42">
        <v>11035.4</v>
      </c>
      <c r="E148" s="40">
        <f t="shared" si="4"/>
        <v>-0.002061818379</v>
      </c>
      <c r="F148" s="43">
        <v>7.532</v>
      </c>
      <c r="G148" s="49">
        <f t="shared" si="1"/>
        <v>0.07532</v>
      </c>
      <c r="H148" s="50">
        <f t="shared" si="2"/>
        <v>0.0001989740165</v>
      </c>
      <c r="I148" s="51">
        <f t="shared" si="5"/>
        <v>-0.006108617977</v>
      </c>
    </row>
    <row r="149">
      <c r="A149" s="13">
        <v>43531.0</v>
      </c>
      <c r="B149" s="11">
        <v>26.2939</v>
      </c>
      <c r="C149" s="65">
        <f t="shared" si="3"/>
        <v>0.003633768088</v>
      </c>
      <c r="D149" s="42">
        <v>11168.05</v>
      </c>
      <c r="E149" s="40">
        <f t="shared" si="4"/>
        <v>0.01202040705</v>
      </c>
      <c r="F149" s="43">
        <v>7.512</v>
      </c>
      <c r="G149" s="49">
        <f t="shared" si="1"/>
        <v>0.07512</v>
      </c>
      <c r="H149" s="50">
        <f t="shared" si="2"/>
        <v>0.0001984643031</v>
      </c>
      <c r="I149" s="51">
        <f t="shared" si="5"/>
        <v>-0.002561708597</v>
      </c>
    </row>
    <row r="150">
      <c r="A150" s="13">
        <v>43532.0</v>
      </c>
      <c r="B150" s="11">
        <v>26.1932</v>
      </c>
      <c r="C150" s="65">
        <f t="shared" si="3"/>
        <v>-0.003829785616</v>
      </c>
      <c r="D150" s="42">
        <v>11301.2</v>
      </c>
      <c r="E150" s="40">
        <f t="shared" si="4"/>
        <v>0.01192240364</v>
      </c>
      <c r="F150" s="43">
        <v>7.513</v>
      </c>
      <c r="G150" s="49">
        <f t="shared" si="1"/>
        <v>0.07513</v>
      </c>
      <c r="H150" s="50">
        <f t="shared" si="2"/>
        <v>0.000198489791</v>
      </c>
      <c r="I150" s="51">
        <f t="shared" si="5"/>
        <v>0.0001284257059</v>
      </c>
    </row>
    <row r="151">
      <c r="A151" s="7">
        <v>43535.0</v>
      </c>
      <c r="B151" s="11">
        <v>26.7581</v>
      </c>
      <c r="C151" s="65">
        <f t="shared" si="3"/>
        <v>0.02156666616</v>
      </c>
      <c r="D151" s="42">
        <v>11341.7</v>
      </c>
      <c r="E151" s="40">
        <f t="shared" si="4"/>
        <v>0.003583690228</v>
      </c>
      <c r="F151" s="43">
        <v>7.548</v>
      </c>
      <c r="G151" s="49">
        <f t="shared" si="1"/>
        <v>0.07548</v>
      </c>
      <c r="H151" s="50">
        <f t="shared" si="2"/>
        <v>0.0001993817192</v>
      </c>
      <c r="I151" s="51">
        <f t="shared" si="5"/>
        <v>0.004493572284</v>
      </c>
    </row>
    <row r="152">
      <c r="A152" s="7">
        <v>43536.0</v>
      </c>
      <c r="B152" s="11">
        <v>26.8635</v>
      </c>
      <c r="C152" s="65">
        <f t="shared" si="3"/>
        <v>0.003938994174</v>
      </c>
      <c r="D152" s="42">
        <v>11343.25</v>
      </c>
      <c r="E152" s="40">
        <f t="shared" si="4"/>
        <v>0.0001366638158</v>
      </c>
      <c r="F152" s="43">
        <v>7.553</v>
      </c>
      <c r="G152" s="49">
        <f t="shared" si="1"/>
        <v>0.07553</v>
      </c>
      <c r="H152" s="50">
        <f t="shared" si="2"/>
        <v>0.0001995091139</v>
      </c>
      <c r="I152" s="51">
        <f t="shared" si="5"/>
        <v>0.0006389486824</v>
      </c>
    </row>
    <row r="153">
      <c r="A153" s="7">
        <v>43537.0</v>
      </c>
      <c r="B153" s="11">
        <v>26.7505</v>
      </c>
      <c r="C153" s="65">
        <f t="shared" si="3"/>
        <v>-0.004206451133</v>
      </c>
      <c r="D153" s="42">
        <v>11426.85</v>
      </c>
      <c r="E153" s="40">
        <f t="shared" si="4"/>
        <v>0.007370021819</v>
      </c>
      <c r="F153" s="43">
        <v>7.502</v>
      </c>
      <c r="G153" s="49">
        <f t="shared" si="1"/>
        <v>0.07502</v>
      </c>
      <c r="H153" s="50">
        <f t="shared" si="2"/>
        <v>0.0001982094109</v>
      </c>
      <c r="I153" s="51">
        <f t="shared" si="5"/>
        <v>-0.006514504467</v>
      </c>
    </row>
    <row r="154">
      <c r="A154" s="7">
        <v>43538.0</v>
      </c>
      <c r="B154" s="11">
        <v>26.802</v>
      </c>
      <c r="C154" s="65">
        <f t="shared" si="3"/>
        <v>0.00192519766</v>
      </c>
      <c r="D154" s="42">
        <v>11462.2</v>
      </c>
      <c r="E154" s="40">
        <f t="shared" si="4"/>
        <v>0.003093590972</v>
      </c>
      <c r="F154" s="43">
        <v>7.48</v>
      </c>
      <c r="G154" s="49">
        <f t="shared" si="1"/>
        <v>0.0748</v>
      </c>
      <c r="H154" s="50">
        <f t="shared" si="2"/>
        <v>0.0001976485649</v>
      </c>
      <c r="I154" s="51">
        <f t="shared" si="5"/>
        <v>-0.002829563176</v>
      </c>
    </row>
    <row r="155">
      <c r="A155" s="7">
        <v>43539.0</v>
      </c>
      <c r="B155" s="11">
        <v>26.7473</v>
      </c>
      <c r="C155" s="65">
        <f t="shared" si="3"/>
        <v>-0.002040892471</v>
      </c>
      <c r="D155" s="42">
        <v>11532.4</v>
      </c>
      <c r="E155" s="40">
        <f t="shared" si="4"/>
        <v>0.006124478721</v>
      </c>
      <c r="F155" s="43">
        <v>7.536</v>
      </c>
      <c r="G155" s="49">
        <f t="shared" si="1"/>
        <v>0.07536</v>
      </c>
      <c r="H155" s="50">
        <f t="shared" si="2"/>
        <v>0.0001990759479</v>
      </c>
      <c r="I155" s="51">
        <f t="shared" si="5"/>
        <v>0.007221823391</v>
      </c>
    </row>
    <row r="156">
      <c r="A156" s="7">
        <v>43542.0</v>
      </c>
      <c r="B156" s="11">
        <v>26.7054</v>
      </c>
      <c r="C156" s="65">
        <f t="shared" si="3"/>
        <v>-0.001566513256</v>
      </c>
      <c r="D156" s="42">
        <v>11521.05</v>
      </c>
      <c r="E156" s="40">
        <f t="shared" si="4"/>
        <v>-0.0009841836912</v>
      </c>
      <c r="F156" s="43">
        <v>7.517</v>
      </c>
      <c r="G156" s="49">
        <f t="shared" si="1"/>
        <v>0.07517</v>
      </c>
      <c r="H156" s="50">
        <f t="shared" si="2"/>
        <v>0.0001985917403</v>
      </c>
      <c r="I156" s="51">
        <f t="shared" si="5"/>
        <v>-0.00243227558</v>
      </c>
    </row>
    <row r="157">
      <c r="A157" s="7">
        <v>43543.0</v>
      </c>
      <c r="B157" s="11">
        <v>26.9083</v>
      </c>
      <c r="C157" s="65">
        <f t="shared" si="3"/>
        <v>0.00759771432</v>
      </c>
      <c r="D157" s="42">
        <v>11456.9</v>
      </c>
      <c r="E157" s="40">
        <f t="shared" si="4"/>
        <v>-0.005568068883</v>
      </c>
      <c r="F157" s="43">
        <v>7.504</v>
      </c>
      <c r="G157" s="49">
        <f t="shared" si="1"/>
        <v>0.07504</v>
      </c>
      <c r="H157" s="50">
        <f t="shared" si="2"/>
        <v>0.0001982603912</v>
      </c>
      <c r="I157" s="51">
        <f t="shared" si="5"/>
        <v>-0.001668493779</v>
      </c>
    </row>
    <row r="158">
      <c r="A158" s="7">
        <v>43544.0</v>
      </c>
      <c r="B158" s="11">
        <v>26.85</v>
      </c>
      <c r="C158" s="65">
        <f t="shared" si="3"/>
        <v>-0.002166617735</v>
      </c>
      <c r="D158" s="42">
        <v>11354.25</v>
      </c>
      <c r="E158" s="40">
        <f t="shared" si="4"/>
        <v>-0.008959666227</v>
      </c>
      <c r="F158" s="43">
        <v>7.471</v>
      </c>
      <c r="G158" s="49">
        <f t="shared" si="1"/>
        <v>0.07471</v>
      </c>
      <c r="H158" s="50">
        <f t="shared" si="2"/>
        <v>0.0001974190948</v>
      </c>
      <c r="I158" s="51">
        <f t="shared" si="5"/>
        <v>-0.004243391188</v>
      </c>
    </row>
    <row r="159">
      <c r="A159" s="7">
        <v>43546.0</v>
      </c>
      <c r="B159" s="11">
        <v>26.6452</v>
      </c>
      <c r="C159" s="65">
        <f t="shared" si="3"/>
        <v>-0.007627560521</v>
      </c>
      <c r="D159" s="42">
        <v>11483.25</v>
      </c>
      <c r="E159" s="40">
        <f t="shared" si="4"/>
        <v>0.0113613845</v>
      </c>
      <c r="F159" s="43">
        <v>7.342</v>
      </c>
      <c r="G159" s="49">
        <f t="shared" si="1"/>
        <v>0.07342</v>
      </c>
      <c r="H159" s="50">
        <f t="shared" si="2"/>
        <v>0.000194127917</v>
      </c>
      <c r="I159" s="51">
        <f t="shared" si="5"/>
        <v>-0.01667102075</v>
      </c>
    </row>
    <row r="160">
      <c r="A160" s="7">
        <v>43549.0</v>
      </c>
      <c r="B160" s="11">
        <v>26.3283</v>
      </c>
      <c r="C160" s="65">
        <f t="shared" si="3"/>
        <v>-0.01189332413</v>
      </c>
      <c r="D160" s="42">
        <v>11445.05</v>
      </c>
      <c r="E160" s="40">
        <f t="shared" si="4"/>
        <v>-0.003326584373</v>
      </c>
      <c r="F160" s="43">
        <v>7.327</v>
      </c>
      <c r="G160" s="49">
        <f t="shared" si="1"/>
        <v>0.07327</v>
      </c>
      <c r="H160" s="50">
        <f t="shared" si="2"/>
        <v>0.000193744966</v>
      </c>
      <c r="I160" s="51">
        <f t="shared" si="5"/>
        <v>-0.001972673817</v>
      </c>
    </row>
    <row r="161">
      <c r="A161" s="7">
        <v>43550.0</v>
      </c>
      <c r="B161" s="11">
        <v>26.6366</v>
      </c>
      <c r="C161" s="65">
        <f t="shared" si="3"/>
        <v>0.01170983315</v>
      </c>
      <c r="D161" s="42">
        <v>11570.0</v>
      </c>
      <c r="E161" s="40">
        <f t="shared" si="4"/>
        <v>0.0109173835</v>
      </c>
      <c r="F161" s="43">
        <v>7.323</v>
      </c>
      <c r="G161" s="49">
        <f t="shared" si="1"/>
        <v>0.07323</v>
      </c>
      <c r="H161" s="50">
        <f t="shared" si="2"/>
        <v>0.0001936428367</v>
      </c>
      <c r="I161" s="51">
        <f t="shared" si="5"/>
        <v>-0.0005271326473</v>
      </c>
    </row>
    <row r="162">
      <c r="A162" s="7">
        <v>43551.0</v>
      </c>
      <c r="B162" s="11">
        <v>26.7319</v>
      </c>
      <c r="C162" s="65">
        <f t="shared" si="3"/>
        <v>0.003577783951</v>
      </c>
      <c r="D162" s="42">
        <v>11623.9</v>
      </c>
      <c r="E162" s="40">
        <f t="shared" si="4"/>
        <v>0.004658599827</v>
      </c>
      <c r="F162" s="43">
        <v>7.346</v>
      </c>
      <c r="G162" s="49">
        <f t="shared" si="1"/>
        <v>0.07346</v>
      </c>
      <c r="H162" s="50">
        <f t="shared" si="2"/>
        <v>0.0001942300283</v>
      </c>
      <c r="I162" s="51">
        <f t="shared" si="5"/>
        <v>0.003032343646</v>
      </c>
    </row>
    <row r="163">
      <c r="A163" s="7">
        <v>43552.0</v>
      </c>
      <c r="B163" s="11">
        <v>26.9644</v>
      </c>
      <c r="C163" s="65">
        <f t="shared" si="3"/>
        <v>0.008697473805</v>
      </c>
      <c r="D163" s="42">
        <v>11713.2</v>
      </c>
      <c r="E163" s="40">
        <f t="shared" si="4"/>
        <v>0.007682447371</v>
      </c>
      <c r="F163" s="43">
        <v>7.272</v>
      </c>
      <c r="G163" s="49">
        <f t="shared" si="1"/>
        <v>0.07272</v>
      </c>
      <c r="H163" s="50">
        <f t="shared" si="2"/>
        <v>0.0001923403553</v>
      </c>
      <c r="I163" s="51">
        <f t="shared" si="5"/>
        <v>-0.009729046653</v>
      </c>
    </row>
    <row r="164">
      <c r="A164" s="7">
        <v>43553.0</v>
      </c>
      <c r="B164" s="11">
        <v>27.3128</v>
      </c>
      <c r="C164" s="65">
        <f t="shared" si="3"/>
        <v>0.01292073994</v>
      </c>
      <c r="D164" s="42">
        <v>11643.95</v>
      </c>
      <c r="E164" s="40">
        <f t="shared" si="4"/>
        <v>-0.00591213332</v>
      </c>
      <c r="F164" s="43">
        <v>7.271</v>
      </c>
      <c r="G164" s="49">
        <f t="shared" si="1"/>
        <v>0.07271</v>
      </c>
      <c r="H164" s="50">
        <f t="shared" si="2"/>
        <v>0.0001923148103</v>
      </c>
      <c r="I164" s="51">
        <f t="shared" si="5"/>
        <v>-0.0001328115618</v>
      </c>
    </row>
    <row r="165">
      <c r="A165" s="7">
        <v>43555.0</v>
      </c>
      <c r="B165" s="11">
        <v>27.3116</v>
      </c>
      <c r="C165" s="65">
        <f t="shared" si="3"/>
        <v>-0.00004393544419</v>
      </c>
      <c r="D165" s="42">
        <v>11598.0</v>
      </c>
      <c r="E165" s="40">
        <f t="shared" si="4"/>
        <v>-0.003946255351</v>
      </c>
      <c r="F165" s="43">
        <v>7.348</v>
      </c>
      <c r="G165" s="49">
        <f t="shared" si="1"/>
        <v>0.07348</v>
      </c>
      <c r="H165" s="50">
        <f t="shared" si="2"/>
        <v>0.0001942810825</v>
      </c>
      <c r="I165" s="51">
        <f t="shared" si="5"/>
        <v>0.01022423722</v>
      </c>
    </row>
    <row r="166">
      <c r="A166" s="13">
        <v>43556.0</v>
      </c>
      <c r="B166" s="11">
        <v>27.4455</v>
      </c>
      <c r="C166" s="65">
        <f t="shared" si="3"/>
        <v>0.004902678715</v>
      </c>
      <c r="D166" s="42">
        <v>11665.95</v>
      </c>
      <c r="E166" s="40">
        <f t="shared" si="4"/>
        <v>0.005858768753</v>
      </c>
      <c r="F166" s="43">
        <v>7.353</v>
      </c>
      <c r="G166" s="49">
        <f t="shared" si="1"/>
        <v>0.07353</v>
      </c>
      <c r="H166" s="50">
        <f t="shared" si="2"/>
        <v>0.0001944087139</v>
      </c>
      <c r="I166" s="51">
        <f t="shared" si="5"/>
        <v>0.0006569418794</v>
      </c>
    </row>
    <row r="167">
      <c r="A167" s="13">
        <v>43557.0</v>
      </c>
      <c r="B167" s="11">
        <v>27.3304</v>
      </c>
      <c r="C167" s="65">
        <f t="shared" si="3"/>
        <v>-0.004193765827</v>
      </c>
      <c r="D167" s="42">
        <v>11604.5</v>
      </c>
      <c r="E167" s="40">
        <f t="shared" si="4"/>
        <v>-0.00526746643</v>
      </c>
      <c r="F167" s="43">
        <v>7.4</v>
      </c>
      <c r="G167" s="49">
        <f t="shared" si="1"/>
        <v>0.074</v>
      </c>
      <c r="H167" s="50">
        <f t="shared" si="2"/>
        <v>0.0001956081592</v>
      </c>
      <c r="I167" s="51">
        <f t="shared" si="5"/>
        <v>0.00616970945</v>
      </c>
    </row>
    <row r="168">
      <c r="A168" s="13">
        <v>43558.0</v>
      </c>
      <c r="B168" s="11">
        <v>27.082</v>
      </c>
      <c r="C168" s="65">
        <f t="shared" si="3"/>
        <v>-0.009088780259</v>
      </c>
      <c r="D168" s="42">
        <v>11671.95</v>
      </c>
      <c r="E168" s="40">
        <f t="shared" si="4"/>
        <v>0.005812400362</v>
      </c>
      <c r="F168" s="43">
        <v>7.374</v>
      </c>
      <c r="G168" s="49">
        <f t="shared" si="1"/>
        <v>0.07374</v>
      </c>
      <c r="H168" s="50">
        <f t="shared" si="2"/>
        <v>0.0001949447009</v>
      </c>
      <c r="I168" s="51">
        <f t="shared" si="5"/>
        <v>-0.003391771673</v>
      </c>
    </row>
    <row r="169">
      <c r="A169" s="13">
        <v>43559.0</v>
      </c>
      <c r="B169" s="11">
        <v>26.9382</v>
      </c>
      <c r="C169" s="65">
        <f t="shared" si="3"/>
        <v>-0.005309799867</v>
      </c>
      <c r="D169" s="42">
        <v>11584.3</v>
      </c>
      <c r="E169" s="40">
        <f t="shared" si="4"/>
        <v>-0.007509456432</v>
      </c>
      <c r="F169" s="43">
        <v>7.367</v>
      </c>
      <c r="G169" s="49">
        <f t="shared" si="1"/>
        <v>0.07367</v>
      </c>
      <c r="H169" s="50">
        <f t="shared" si="2"/>
        <v>0.0001947660502</v>
      </c>
      <c r="I169" s="51">
        <f t="shared" si="5"/>
        <v>-0.0009164175174</v>
      </c>
    </row>
    <row r="170">
      <c r="A170" s="13">
        <v>43560.0</v>
      </c>
      <c r="B170" s="11">
        <v>27.0347</v>
      </c>
      <c r="C170" s="65">
        <f t="shared" si="3"/>
        <v>0.0035822735</v>
      </c>
      <c r="D170" s="42">
        <v>11596.7</v>
      </c>
      <c r="E170" s="40">
        <f t="shared" si="4"/>
        <v>0.001070414268</v>
      </c>
      <c r="F170" s="43">
        <v>7.371</v>
      </c>
      <c r="G170" s="49">
        <f t="shared" si="1"/>
        <v>0.07371</v>
      </c>
      <c r="H170" s="50">
        <f t="shared" si="2"/>
        <v>0.0001948681378</v>
      </c>
      <c r="I170" s="51">
        <f t="shared" si="5"/>
        <v>0.0005241547925</v>
      </c>
    </row>
    <row r="171">
      <c r="A171" s="13">
        <v>43563.0</v>
      </c>
      <c r="B171" s="11">
        <v>26.8968</v>
      </c>
      <c r="C171" s="65">
        <f t="shared" si="3"/>
        <v>-0.005100851868</v>
      </c>
      <c r="D171" s="42">
        <v>11643.45</v>
      </c>
      <c r="E171" s="40">
        <f t="shared" si="4"/>
        <v>0.004031319255</v>
      </c>
      <c r="F171" s="43">
        <v>7.409</v>
      </c>
      <c r="G171" s="49">
        <f t="shared" si="1"/>
        <v>0.07409</v>
      </c>
      <c r="H171" s="50">
        <f t="shared" si="2"/>
        <v>0.0001958377805</v>
      </c>
      <c r="I171" s="51">
        <f t="shared" si="5"/>
        <v>0.004975891385</v>
      </c>
    </row>
    <row r="172">
      <c r="A172" s="13">
        <v>43564.0</v>
      </c>
      <c r="B172" s="11">
        <v>27.0129</v>
      </c>
      <c r="C172" s="65">
        <f t="shared" si="3"/>
        <v>0.004316498617</v>
      </c>
      <c r="D172" s="42">
        <v>11690.35</v>
      </c>
      <c r="E172" s="40">
        <f t="shared" si="4"/>
        <v>0.004028015751</v>
      </c>
      <c r="F172" s="43">
        <v>7.392</v>
      </c>
      <c r="G172" s="49">
        <f t="shared" si="1"/>
        <v>0.07392</v>
      </c>
      <c r="H172" s="50">
        <f t="shared" si="2"/>
        <v>0.0001954040352</v>
      </c>
      <c r="I172" s="51">
        <f t="shared" si="5"/>
        <v>-0.002214818921</v>
      </c>
    </row>
    <row r="173">
      <c r="A173" s="7">
        <v>43565.0</v>
      </c>
      <c r="B173" s="11">
        <v>26.8615</v>
      </c>
      <c r="C173" s="65">
        <f t="shared" si="3"/>
        <v>-0.005604729592</v>
      </c>
      <c r="D173" s="42">
        <v>11787.15</v>
      </c>
      <c r="E173" s="40">
        <f t="shared" si="4"/>
        <v>0.00828033378</v>
      </c>
      <c r="F173" s="43">
        <v>7.39</v>
      </c>
      <c r="G173" s="49">
        <f t="shared" si="1"/>
        <v>0.0739</v>
      </c>
      <c r="H173" s="50">
        <f t="shared" si="2"/>
        <v>0.0001953530019</v>
      </c>
      <c r="I173" s="51">
        <f t="shared" si="5"/>
        <v>-0.0002611683595</v>
      </c>
    </row>
    <row r="174">
      <c r="A174" s="7">
        <v>43566.0</v>
      </c>
      <c r="B174" s="11">
        <v>26.9519</v>
      </c>
      <c r="C174" s="65">
        <f t="shared" si="3"/>
        <v>0.003365411463</v>
      </c>
      <c r="D174" s="42">
        <v>11752.8</v>
      </c>
      <c r="E174" s="40">
        <f t="shared" si="4"/>
        <v>-0.002914190453</v>
      </c>
      <c r="F174" s="43">
        <v>7.42</v>
      </c>
      <c r="G174" s="49">
        <f t="shared" si="1"/>
        <v>0.0742</v>
      </c>
      <c r="H174" s="50">
        <f t="shared" si="2"/>
        <v>0.0001961184026</v>
      </c>
      <c r="I174" s="51">
        <f t="shared" si="5"/>
        <v>0.003918039437</v>
      </c>
    </row>
    <row r="175">
      <c r="A175" s="7">
        <v>43567.0</v>
      </c>
      <c r="B175" s="11">
        <v>27.2642</v>
      </c>
      <c r="C175" s="65">
        <f t="shared" si="3"/>
        <v>0.01158730924</v>
      </c>
      <c r="D175" s="42">
        <v>11594.45</v>
      </c>
      <c r="E175" s="40">
        <f t="shared" si="4"/>
        <v>-0.01347338507</v>
      </c>
      <c r="F175" s="43">
        <v>7.474</v>
      </c>
      <c r="G175" s="49">
        <f t="shared" si="1"/>
        <v>0.07474</v>
      </c>
      <c r="H175" s="50">
        <f t="shared" si="2"/>
        <v>0.000197495587</v>
      </c>
      <c r="I175" s="51">
        <f t="shared" si="5"/>
        <v>0.007022208607</v>
      </c>
    </row>
    <row r="176">
      <c r="A176" s="7">
        <v>43570.0</v>
      </c>
      <c r="B176" s="11">
        <v>27.3661</v>
      </c>
      <c r="C176" s="65">
        <f t="shared" si="3"/>
        <v>0.003737501926</v>
      </c>
      <c r="D176" s="42">
        <v>11575.95</v>
      </c>
      <c r="E176" s="40">
        <f t="shared" si="4"/>
        <v>-0.001595590994</v>
      </c>
      <c r="F176" s="43">
        <v>7.473</v>
      </c>
      <c r="G176" s="49">
        <f t="shared" si="1"/>
        <v>0.07473</v>
      </c>
      <c r="H176" s="50">
        <f t="shared" si="2"/>
        <v>0.0001974700898</v>
      </c>
      <c r="I176" s="51">
        <f t="shared" si="5"/>
        <v>-0.0001291023365</v>
      </c>
    </row>
    <row r="177">
      <c r="A177" s="7">
        <v>43571.0</v>
      </c>
      <c r="B177" s="11">
        <v>27.5363</v>
      </c>
      <c r="C177" s="65">
        <f t="shared" si="3"/>
        <v>0.006219373605</v>
      </c>
      <c r="D177" s="42">
        <v>11726.15</v>
      </c>
      <c r="E177" s="40">
        <f t="shared" si="4"/>
        <v>0.01297517698</v>
      </c>
      <c r="F177" s="43">
        <v>7.424</v>
      </c>
      <c r="G177" s="49">
        <f t="shared" si="1"/>
        <v>0.07424</v>
      </c>
      <c r="H177" s="50">
        <f t="shared" si="2"/>
        <v>0.00019622044</v>
      </c>
      <c r="I177" s="51">
        <f t="shared" si="5"/>
        <v>-0.006328299469</v>
      </c>
    </row>
    <row r="178">
      <c r="A178" s="7">
        <v>43573.0</v>
      </c>
      <c r="B178" s="11">
        <v>27.2952</v>
      </c>
      <c r="C178" s="65">
        <f t="shared" si="3"/>
        <v>-0.008755715183</v>
      </c>
      <c r="D178" s="42">
        <v>11641.8</v>
      </c>
      <c r="E178" s="40">
        <f t="shared" si="4"/>
        <v>-0.007193324322</v>
      </c>
      <c r="F178" s="43">
        <v>7.451</v>
      </c>
      <c r="G178" s="49">
        <f t="shared" si="1"/>
        <v>0.07451</v>
      </c>
      <c r="H178" s="50">
        <f t="shared" si="2"/>
        <v>0.0001969090928</v>
      </c>
      <c r="I178" s="51">
        <f t="shared" si="5"/>
        <v>0.003509587878</v>
      </c>
    </row>
    <row r="179">
      <c r="A179" s="7">
        <v>43577.0</v>
      </c>
      <c r="B179" s="11">
        <v>26.7288</v>
      </c>
      <c r="C179" s="65">
        <f t="shared" si="3"/>
        <v>-0.02075090126</v>
      </c>
      <c r="D179" s="42">
        <v>11754.65</v>
      </c>
      <c r="E179" s="40">
        <f t="shared" si="4"/>
        <v>0.009693518184</v>
      </c>
      <c r="F179" s="43">
        <v>7.408</v>
      </c>
      <c r="G179" s="49">
        <f t="shared" si="1"/>
        <v>0.07408</v>
      </c>
      <c r="H179" s="50">
        <f t="shared" si="2"/>
        <v>0.0001958122679</v>
      </c>
      <c r="I179" s="51">
        <f t="shared" si="5"/>
        <v>-0.005570209646</v>
      </c>
    </row>
    <row r="180">
      <c r="A180" s="7">
        <v>43578.0</v>
      </c>
      <c r="B180" s="11">
        <v>26.9083</v>
      </c>
      <c r="C180" s="65">
        <f t="shared" si="3"/>
        <v>0.006715602646</v>
      </c>
      <c r="D180" s="42">
        <v>11748.15</v>
      </c>
      <c r="E180" s="40">
        <f t="shared" si="4"/>
        <v>-0.0005529726534</v>
      </c>
      <c r="F180" s="43">
        <v>7.414</v>
      </c>
      <c r="G180" s="49">
        <f t="shared" si="1"/>
        <v>0.07414</v>
      </c>
      <c r="H180" s="50">
        <f t="shared" si="2"/>
        <v>0.0001959653395</v>
      </c>
      <c r="I180" s="51">
        <f t="shared" si="5"/>
        <v>0.0007817264266</v>
      </c>
    </row>
    <row r="181">
      <c r="A181" s="7">
        <v>43579.0</v>
      </c>
      <c r="B181" s="11">
        <v>27.0128</v>
      </c>
      <c r="C181" s="65">
        <f t="shared" si="3"/>
        <v>0.003883560091</v>
      </c>
      <c r="D181" s="42">
        <v>11724.75</v>
      </c>
      <c r="E181" s="40">
        <f t="shared" si="4"/>
        <v>-0.001991802965</v>
      </c>
      <c r="F181" s="43">
        <v>7.386</v>
      </c>
      <c r="G181" s="49">
        <f t="shared" si="1"/>
        <v>0.07386</v>
      </c>
      <c r="H181" s="50">
        <f t="shared" si="2"/>
        <v>0.0001952509323</v>
      </c>
      <c r="I181" s="51">
        <f t="shared" si="5"/>
        <v>-0.003645579444</v>
      </c>
    </row>
    <row r="182">
      <c r="A182" s="7">
        <v>43580.0</v>
      </c>
      <c r="B182" s="11">
        <v>26.8745</v>
      </c>
      <c r="C182" s="65">
        <f t="shared" si="3"/>
        <v>-0.00511979506</v>
      </c>
      <c r="D182" s="42">
        <v>11712.25</v>
      </c>
      <c r="E182" s="40">
        <f t="shared" si="4"/>
        <v>-0.001066120813</v>
      </c>
      <c r="F182" s="43">
        <v>7.397</v>
      </c>
      <c r="G182" s="49">
        <f t="shared" si="1"/>
        <v>0.07397</v>
      </c>
      <c r="H182" s="50">
        <f t="shared" si="2"/>
        <v>0.0001955316145</v>
      </c>
      <c r="I182" s="51">
        <f t="shared" si="5"/>
        <v>0.001437545651</v>
      </c>
    </row>
    <row r="183">
      <c r="A183" s="7">
        <v>43581.0</v>
      </c>
      <c r="B183" s="11">
        <v>27.0665</v>
      </c>
      <c r="C183" s="65">
        <f t="shared" si="3"/>
        <v>0.007144318964</v>
      </c>
      <c r="D183" s="42">
        <v>11598.25</v>
      </c>
      <c r="E183" s="40">
        <f t="shared" si="4"/>
        <v>-0.009733398792</v>
      </c>
      <c r="F183" s="43">
        <v>7.394</v>
      </c>
      <c r="G183" s="49">
        <f t="shared" si="1"/>
        <v>0.07394</v>
      </c>
      <c r="H183" s="50">
        <f t="shared" si="2"/>
        <v>0.0001954550676</v>
      </c>
      <c r="I183" s="51">
        <f t="shared" si="5"/>
        <v>-0.0003914805705</v>
      </c>
    </row>
    <row r="184">
      <c r="A184" s="7">
        <v>43585.0</v>
      </c>
      <c r="B184" s="11">
        <v>26.8866</v>
      </c>
      <c r="C184" s="65">
        <f t="shared" si="3"/>
        <v>-0.006646592651</v>
      </c>
      <c r="D184" s="42">
        <v>11497.9</v>
      </c>
      <c r="E184" s="40">
        <f t="shared" si="4"/>
        <v>-0.008652167353</v>
      </c>
      <c r="F184" s="43">
        <v>7.382</v>
      </c>
      <c r="G184" s="49">
        <f t="shared" si="1"/>
        <v>0.07382</v>
      </c>
      <c r="H184" s="50">
        <f t="shared" si="2"/>
        <v>0.000195148859</v>
      </c>
      <c r="I184" s="51">
        <f t="shared" si="5"/>
        <v>-0.001566644662</v>
      </c>
    </row>
    <row r="185">
      <c r="A185" s="66">
        <v>43587.0</v>
      </c>
      <c r="B185" s="11">
        <v>26.7179</v>
      </c>
      <c r="C185" s="65">
        <f t="shared" si="3"/>
        <v>-0.006274501053</v>
      </c>
      <c r="D185" s="42">
        <v>11359.45</v>
      </c>
      <c r="E185" s="40">
        <f t="shared" si="4"/>
        <v>-0.01204132929</v>
      </c>
      <c r="F185" s="43">
        <v>7.375</v>
      </c>
      <c r="G185" s="49">
        <f t="shared" si="1"/>
        <v>0.07375</v>
      </c>
      <c r="H185" s="50">
        <f t="shared" si="2"/>
        <v>0.0001949702215</v>
      </c>
      <c r="I185" s="51">
        <f t="shared" si="5"/>
        <v>-0.0009153907749</v>
      </c>
    </row>
    <row r="186">
      <c r="A186" s="66">
        <v>43588.0</v>
      </c>
      <c r="B186" s="11">
        <v>26.6842</v>
      </c>
      <c r="C186" s="65">
        <f t="shared" si="3"/>
        <v>-0.001261326676</v>
      </c>
      <c r="D186" s="42">
        <v>11301.8</v>
      </c>
      <c r="E186" s="40">
        <f t="shared" si="4"/>
        <v>-0.005075069656</v>
      </c>
      <c r="F186" s="43">
        <v>7.397</v>
      </c>
      <c r="G186" s="49">
        <f t="shared" si="1"/>
        <v>0.07397</v>
      </c>
      <c r="H186" s="50">
        <f t="shared" si="2"/>
        <v>0.0001955316145</v>
      </c>
      <c r="I186" s="51">
        <f t="shared" si="5"/>
        <v>0.002879377821</v>
      </c>
    </row>
    <row r="187">
      <c r="A187" s="66">
        <v>43591.0</v>
      </c>
      <c r="B187" s="11">
        <v>26.4704</v>
      </c>
      <c r="C187" s="65">
        <f t="shared" si="3"/>
        <v>-0.008012231957</v>
      </c>
      <c r="D187" s="42">
        <v>11278.9</v>
      </c>
      <c r="E187" s="40">
        <f t="shared" si="4"/>
        <v>-0.002026225911</v>
      </c>
      <c r="F187" s="43">
        <v>7.413</v>
      </c>
      <c r="G187" s="49">
        <f t="shared" si="1"/>
        <v>0.07413</v>
      </c>
      <c r="H187" s="50">
        <f t="shared" si="2"/>
        <v>0.0001959398282</v>
      </c>
      <c r="I187" s="51">
        <f t="shared" si="5"/>
        <v>0.002087712214</v>
      </c>
    </row>
    <row r="188">
      <c r="A188" s="66">
        <v>43592.0</v>
      </c>
      <c r="B188" s="11">
        <v>26.2487</v>
      </c>
      <c r="C188" s="65">
        <f t="shared" si="3"/>
        <v>-0.008375392892</v>
      </c>
      <c r="D188" s="42">
        <v>11148.2</v>
      </c>
      <c r="E188" s="40">
        <f t="shared" si="4"/>
        <v>-0.01158800947</v>
      </c>
      <c r="F188" s="43">
        <v>7.388</v>
      </c>
      <c r="G188" s="49">
        <f t="shared" si="1"/>
        <v>0.07388</v>
      </c>
      <c r="H188" s="50">
        <f t="shared" si="2"/>
        <v>0.0001953019676</v>
      </c>
      <c r="I188" s="51">
        <f t="shared" si="5"/>
        <v>-0.003255390327</v>
      </c>
    </row>
    <row r="189">
      <c r="A189" s="66">
        <v>43593.0</v>
      </c>
      <c r="B189" s="11">
        <v>26.0404</v>
      </c>
      <c r="C189" s="65">
        <f t="shared" si="3"/>
        <v>-0.007935631098</v>
      </c>
      <c r="D189" s="42">
        <v>11222.05</v>
      </c>
      <c r="E189" s="40">
        <f t="shared" si="4"/>
        <v>0.006624387794</v>
      </c>
      <c r="F189" s="43">
        <v>7.378</v>
      </c>
      <c r="G189" s="49">
        <f t="shared" si="1"/>
        <v>0.07378</v>
      </c>
      <c r="H189" s="50">
        <f t="shared" si="2"/>
        <v>0.0001950467819</v>
      </c>
      <c r="I189" s="51">
        <f t="shared" si="5"/>
        <v>-0.001306621317</v>
      </c>
    </row>
    <row r="190">
      <c r="A190" s="66">
        <v>43594.0</v>
      </c>
      <c r="B190" s="11">
        <v>25.8813</v>
      </c>
      <c r="C190" s="65">
        <f t="shared" si="3"/>
        <v>-0.006109737178</v>
      </c>
      <c r="D190" s="42">
        <v>11157.0</v>
      </c>
      <c r="E190" s="40">
        <f t="shared" si="4"/>
        <v>-0.005796623612</v>
      </c>
      <c r="F190" s="43">
        <v>7.379</v>
      </c>
      <c r="G190" s="49">
        <f t="shared" si="1"/>
        <v>0.07379</v>
      </c>
      <c r="H190" s="50">
        <f t="shared" si="2"/>
        <v>0.0001950723015</v>
      </c>
      <c r="I190" s="51">
        <f t="shared" si="5"/>
        <v>0.000130838548</v>
      </c>
    </row>
    <row r="191">
      <c r="A191" s="61">
        <v>43595.0</v>
      </c>
      <c r="B191" s="11">
        <v>25.8704</v>
      </c>
      <c r="C191" s="65">
        <f t="shared" si="3"/>
        <v>-0.0004211534969</v>
      </c>
      <c r="D191" s="42">
        <v>11257.1</v>
      </c>
      <c r="E191" s="40">
        <f t="shared" si="4"/>
        <v>0.008971945864</v>
      </c>
      <c r="F191" s="43">
        <v>7.377</v>
      </c>
      <c r="G191" s="49">
        <f t="shared" si="1"/>
        <v>0.07377</v>
      </c>
      <c r="H191" s="50">
        <f t="shared" si="2"/>
        <v>0.000195021262</v>
      </c>
      <c r="I191" s="51">
        <f t="shared" si="5"/>
        <v>-0.0002616440788</v>
      </c>
    </row>
    <row r="192">
      <c r="A192" s="61">
        <v>43598.0</v>
      </c>
      <c r="B192" s="11">
        <v>25.3254</v>
      </c>
      <c r="C192" s="65">
        <f t="shared" si="3"/>
        <v>-0.0210665471</v>
      </c>
      <c r="D192" s="42">
        <v>11407.15</v>
      </c>
      <c r="E192" s="40">
        <f t="shared" si="4"/>
        <v>0.01332936547</v>
      </c>
      <c r="F192" s="43">
        <v>7.362</v>
      </c>
      <c r="G192" s="49">
        <f t="shared" si="1"/>
        <v>0.07362</v>
      </c>
      <c r="H192" s="50">
        <f t="shared" si="2"/>
        <v>0.0001946384354</v>
      </c>
      <c r="I192" s="51">
        <f t="shared" si="5"/>
        <v>-0.001962999132</v>
      </c>
    </row>
    <row r="193">
      <c r="A193" s="61">
        <v>43599.0</v>
      </c>
      <c r="B193" s="11">
        <v>25.4367</v>
      </c>
      <c r="C193" s="65">
        <f t="shared" si="3"/>
        <v>0.004394797318</v>
      </c>
      <c r="D193" s="42">
        <v>11828.25</v>
      </c>
      <c r="E193" s="40">
        <f t="shared" si="4"/>
        <v>0.03691544338</v>
      </c>
      <c r="F193" s="43">
        <v>7.286</v>
      </c>
      <c r="G193" s="49">
        <f t="shared" si="1"/>
        <v>0.07286</v>
      </c>
      <c r="H193" s="50">
        <f t="shared" si="2"/>
        <v>0.0001926979607</v>
      </c>
      <c r="I193" s="51">
        <f t="shared" si="5"/>
        <v>-0.009969638048</v>
      </c>
    </row>
    <row r="194">
      <c r="A194" s="61">
        <v>43600.0</v>
      </c>
      <c r="B194" s="11">
        <v>25.2873</v>
      </c>
      <c r="C194" s="65">
        <f t="shared" si="3"/>
        <v>-0.00587340339</v>
      </c>
      <c r="D194" s="42">
        <v>11709.1</v>
      </c>
      <c r="E194" s="40">
        <f t="shared" si="4"/>
        <v>-0.01007334136</v>
      </c>
      <c r="F194" s="43">
        <v>7.303</v>
      </c>
      <c r="G194" s="49">
        <f t="shared" si="1"/>
        <v>0.07303</v>
      </c>
      <c r="H194" s="50">
        <f t="shared" si="2"/>
        <v>0.0001931321332</v>
      </c>
      <c r="I194" s="51">
        <f t="shared" si="5"/>
        <v>0.002253124826</v>
      </c>
    </row>
    <row r="195">
      <c r="A195" s="61">
        <v>43601.0</v>
      </c>
      <c r="B195" s="11">
        <v>25.3022</v>
      </c>
      <c r="C195" s="65">
        <f t="shared" si="3"/>
        <v>0.0005892285851</v>
      </c>
      <c r="D195" s="42">
        <v>11737.9</v>
      </c>
      <c r="E195" s="40">
        <f t="shared" si="4"/>
        <v>0.00245962542</v>
      </c>
      <c r="F195" s="43">
        <v>7.26</v>
      </c>
      <c r="G195" s="49">
        <f t="shared" si="1"/>
        <v>0.0726</v>
      </c>
      <c r="H195" s="50">
        <f t="shared" si="2"/>
        <v>0.0001920337993</v>
      </c>
      <c r="I195" s="51">
        <f t="shared" si="5"/>
        <v>-0.005686955788</v>
      </c>
    </row>
    <row r="196">
      <c r="A196" s="61">
        <v>43602.0</v>
      </c>
      <c r="B196" s="11">
        <v>25.2874</v>
      </c>
      <c r="C196" s="65">
        <f t="shared" si="3"/>
        <v>-0.0005849293737</v>
      </c>
      <c r="D196" s="42">
        <v>11657.05</v>
      </c>
      <c r="E196" s="40">
        <f t="shared" si="4"/>
        <v>-0.006887944181</v>
      </c>
      <c r="F196" s="43">
        <v>7.239</v>
      </c>
      <c r="G196" s="49">
        <f t="shared" si="1"/>
        <v>0.07239</v>
      </c>
      <c r="H196" s="50">
        <f t="shared" si="2"/>
        <v>0.0001914972441</v>
      </c>
      <c r="I196" s="51">
        <f t="shared" si="5"/>
        <v>-0.002794066612</v>
      </c>
    </row>
    <row r="197">
      <c r="A197" s="61">
        <v>43605.0</v>
      </c>
      <c r="B197" s="11">
        <v>26.1169</v>
      </c>
      <c r="C197" s="65">
        <f t="shared" si="3"/>
        <v>0.03280289789</v>
      </c>
      <c r="D197" s="42">
        <v>11844.1</v>
      </c>
      <c r="E197" s="40">
        <f t="shared" si="4"/>
        <v>0.0160460837</v>
      </c>
      <c r="F197" s="43">
        <v>7.226</v>
      </c>
      <c r="G197" s="49">
        <f t="shared" si="1"/>
        <v>0.07226</v>
      </c>
      <c r="H197" s="50">
        <f t="shared" si="2"/>
        <v>0.0001911650384</v>
      </c>
      <c r="I197" s="51">
        <f t="shared" si="5"/>
        <v>-0.001734780833</v>
      </c>
    </row>
    <row r="198">
      <c r="A198" s="61">
        <v>43606.0</v>
      </c>
      <c r="B198" s="11">
        <v>25.885</v>
      </c>
      <c r="C198" s="65">
        <f t="shared" si="3"/>
        <v>-0.008879308034</v>
      </c>
      <c r="D198" s="42">
        <v>11924.75</v>
      </c>
      <c r="E198" s="40">
        <f t="shared" si="4"/>
        <v>0.006809297456</v>
      </c>
      <c r="F198" s="43">
        <v>7.167</v>
      </c>
      <c r="G198" s="49">
        <f t="shared" si="1"/>
        <v>0.07167</v>
      </c>
      <c r="H198" s="50">
        <f t="shared" si="2"/>
        <v>0.0001896568304</v>
      </c>
      <c r="I198" s="51">
        <f t="shared" si="5"/>
        <v>-0.00788955977</v>
      </c>
    </row>
    <row r="199">
      <c r="A199" s="61">
        <v>43607.0</v>
      </c>
      <c r="B199" s="11">
        <v>26.0961</v>
      </c>
      <c r="C199" s="65">
        <f t="shared" si="3"/>
        <v>0.008155302299</v>
      </c>
      <c r="D199" s="42">
        <v>11928.75</v>
      </c>
      <c r="E199" s="40">
        <f t="shared" si="4"/>
        <v>0.0003354368016</v>
      </c>
      <c r="F199" s="43">
        <v>7.149</v>
      </c>
      <c r="G199" s="49">
        <f t="shared" si="1"/>
        <v>0.07149</v>
      </c>
      <c r="H199" s="50">
        <f t="shared" si="2"/>
        <v>0.0001891965342</v>
      </c>
      <c r="I199" s="51">
        <f t="shared" si="5"/>
        <v>-0.002426994618</v>
      </c>
    </row>
    <row r="200">
      <c r="A200" s="61">
        <v>43608.0</v>
      </c>
      <c r="B200" s="11">
        <v>26.0482</v>
      </c>
      <c r="C200" s="65">
        <f t="shared" si="3"/>
        <v>-0.001835523316</v>
      </c>
      <c r="D200" s="42">
        <v>11861.1</v>
      </c>
      <c r="E200" s="40">
        <f t="shared" si="4"/>
        <v>-0.005671172587</v>
      </c>
      <c r="F200" s="43">
        <v>7.125</v>
      </c>
      <c r="G200" s="49">
        <f t="shared" si="1"/>
        <v>0.07125</v>
      </c>
      <c r="H200" s="50">
        <f t="shared" si="2"/>
        <v>0.0001885826861</v>
      </c>
      <c r="I200" s="51">
        <f t="shared" si="5"/>
        <v>-0.003244499766</v>
      </c>
    </row>
    <row r="201">
      <c r="A201" s="61">
        <v>43609.0</v>
      </c>
      <c r="B201" s="11">
        <v>26.7751</v>
      </c>
      <c r="C201" s="65">
        <f t="shared" si="3"/>
        <v>0.02790595895</v>
      </c>
      <c r="D201" s="42">
        <v>11945.9</v>
      </c>
      <c r="E201" s="40">
        <f t="shared" si="4"/>
        <v>0.007149421217</v>
      </c>
      <c r="F201" s="43">
        <v>7.133</v>
      </c>
      <c r="G201" s="49">
        <f t="shared" si="1"/>
        <v>0.07133</v>
      </c>
      <c r="H201" s="50">
        <f t="shared" si="2"/>
        <v>0.0001887873174</v>
      </c>
      <c r="I201" s="51">
        <f t="shared" si="5"/>
        <v>0.001085101069</v>
      </c>
    </row>
    <row r="202">
      <c r="A202" s="61">
        <v>43612.0</v>
      </c>
      <c r="B202" s="11">
        <v>27.3085</v>
      </c>
      <c r="C202" s="65">
        <f t="shared" si="3"/>
        <v>0.01992149422</v>
      </c>
      <c r="D202" s="42">
        <v>11922.8</v>
      </c>
      <c r="E202" s="40">
        <f t="shared" si="4"/>
        <v>-0.001933717845</v>
      </c>
      <c r="F202" s="43">
        <v>7.032</v>
      </c>
      <c r="G202" s="49">
        <f t="shared" si="1"/>
        <v>0.07032</v>
      </c>
      <c r="H202" s="50">
        <f t="shared" si="2"/>
        <v>0.0001862027286</v>
      </c>
      <c r="I202" s="51">
        <f t="shared" si="5"/>
        <v>-0.01369047904</v>
      </c>
    </row>
    <row r="203">
      <c r="A203" s="61">
        <v>43613.0</v>
      </c>
      <c r="B203" s="11">
        <v>27.2726</v>
      </c>
      <c r="C203" s="65">
        <f t="shared" si="3"/>
        <v>-0.001314609005</v>
      </c>
      <c r="D203" s="42">
        <v>12088.55</v>
      </c>
      <c r="E203" s="40">
        <f t="shared" si="4"/>
        <v>0.01390193579</v>
      </c>
      <c r="F203" s="43">
        <v>6.982</v>
      </c>
      <c r="G203" s="49">
        <f t="shared" si="1"/>
        <v>0.06982</v>
      </c>
      <c r="H203" s="50">
        <f t="shared" si="2"/>
        <v>0.000184922329</v>
      </c>
      <c r="I203" s="51">
        <f t="shared" si="5"/>
        <v>-0.006876374162</v>
      </c>
    </row>
    <row r="204">
      <c r="A204" s="61">
        <v>43614.0</v>
      </c>
      <c r="B204" s="11">
        <v>26.9323</v>
      </c>
      <c r="C204" s="65">
        <f t="shared" si="3"/>
        <v>-0.0124777249</v>
      </c>
      <c r="D204" s="42">
        <v>12021.65</v>
      </c>
      <c r="E204" s="40">
        <f t="shared" si="4"/>
        <v>-0.005534162493</v>
      </c>
      <c r="F204" s="43">
        <v>7.022</v>
      </c>
      <c r="G204" s="49">
        <f t="shared" si="1"/>
        <v>0.07022</v>
      </c>
      <c r="H204" s="50">
        <f t="shared" si="2"/>
        <v>0.0001859466964</v>
      </c>
      <c r="I204" s="51">
        <f t="shared" si="5"/>
        <v>0.005539446956</v>
      </c>
    </row>
    <row r="205">
      <c r="A205" s="61">
        <v>43615.0</v>
      </c>
      <c r="B205" s="11">
        <v>27.0593</v>
      </c>
      <c r="C205" s="65">
        <f t="shared" si="3"/>
        <v>0.004715527452</v>
      </c>
      <c r="D205" s="42">
        <v>11843.75</v>
      </c>
      <c r="E205" s="40">
        <f t="shared" si="4"/>
        <v>-0.0147983014</v>
      </c>
      <c r="F205" s="43">
        <v>6.931</v>
      </c>
      <c r="G205" s="49">
        <f t="shared" si="1"/>
        <v>0.06931</v>
      </c>
      <c r="H205" s="50">
        <f t="shared" si="2"/>
        <v>0.0001836157064</v>
      </c>
      <c r="I205" s="51">
        <f t="shared" si="5"/>
        <v>-0.01253579682</v>
      </c>
    </row>
    <row r="206">
      <c r="A206" s="61">
        <v>43616.0</v>
      </c>
      <c r="B206" s="11">
        <v>27.0674</v>
      </c>
      <c r="C206" s="65">
        <f t="shared" si="3"/>
        <v>0.0002993425551</v>
      </c>
      <c r="D206" s="42">
        <v>11870.65</v>
      </c>
      <c r="E206" s="40">
        <f t="shared" si="4"/>
        <v>0.002271240106</v>
      </c>
      <c r="F206" s="43">
        <v>6.974</v>
      </c>
      <c r="G206" s="49">
        <f t="shared" si="1"/>
        <v>0.06974</v>
      </c>
      <c r="H206" s="50">
        <f t="shared" si="2"/>
        <v>0.0001847174096</v>
      </c>
      <c r="I206" s="51">
        <f t="shared" si="5"/>
        <v>0.006000049092</v>
      </c>
    </row>
    <row r="207">
      <c r="A207" s="13">
        <v>43619.0</v>
      </c>
      <c r="B207" s="11">
        <v>27.1838</v>
      </c>
      <c r="C207" s="65">
        <f t="shared" si="3"/>
        <v>0.004300376098</v>
      </c>
      <c r="D207" s="42">
        <v>11922.7</v>
      </c>
      <c r="E207" s="40">
        <f t="shared" si="4"/>
        <v>0.004384764103</v>
      </c>
      <c r="F207" s="43">
        <v>7.077</v>
      </c>
      <c r="G207" s="49">
        <f t="shared" si="1"/>
        <v>0.07077</v>
      </c>
      <c r="H207" s="50">
        <f t="shared" si="2"/>
        <v>0.0001873545784</v>
      </c>
      <c r="I207" s="51">
        <f t="shared" si="5"/>
        <v>0.01427677403</v>
      </c>
    </row>
    <row r="208">
      <c r="A208" s="13">
        <v>43620.0</v>
      </c>
      <c r="B208" s="11">
        <v>27.0954</v>
      </c>
      <c r="C208" s="65">
        <f t="shared" si="3"/>
        <v>-0.003251936815</v>
      </c>
      <c r="D208" s="42">
        <v>11965.6</v>
      </c>
      <c r="E208" s="40">
        <f t="shared" si="4"/>
        <v>0.003598178265</v>
      </c>
      <c r="F208" s="43">
        <v>7.037</v>
      </c>
      <c r="G208" s="49">
        <f t="shared" si="1"/>
        <v>0.07037</v>
      </c>
      <c r="H208" s="50">
        <f t="shared" si="2"/>
        <v>0.0001863307358</v>
      </c>
      <c r="I208" s="51">
        <f t="shared" si="5"/>
        <v>-0.005464732267</v>
      </c>
    </row>
    <row r="209">
      <c r="A209" s="13">
        <v>43622.0</v>
      </c>
      <c r="B209" s="11">
        <v>26.7149</v>
      </c>
      <c r="C209" s="65">
        <f t="shared" si="3"/>
        <v>-0.01404297408</v>
      </c>
      <c r="D209" s="42">
        <v>11906.2</v>
      </c>
      <c r="E209" s="40">
        <f t="shared" si="4"/>
        <v>-0.004964230795</v>
      </c>
      <c r="F209" s="43">
        <v>7.012</v>
      </c>
      <c r="G209" s="49">
        <f t="shared" si="1"/>
        <v>0.07012</v>
      </c>
      <c r="H209" s="50">
        <f t="shared" si="2"/>
        <v>0.0001856906403</v>
      </c>
      <c r="I209" s="51">
        <f t="shared" si="5"/>
        <v>-0.003435264771</v>
      </c>
    </row>
    <row r="210">
      <c r="A210" s="13">
        <v>43623.0</v>
      </c>
      <c r="B210" s="11">
        <v>26.6825</v>
      </c>
      <c r="C210" s="65">
        <f t="shared" si="3"/>
        <v>-0.001212806337</v>
      </c>
      <c r="D210" s="42">
        <v>11914.05</v>
      </c>
      <c r="E210" s="40">
        <f t="shared" si="4"/>
        <v>0.0006593203541</v>
      </c>
      <c r="F210" s="43">
        <v>7.009</v>
      </c>
      <c r="G210" s="49">
        <f t="shared" si="1"/>
        <v>0.07009</v>
      </c>
      <c r="H210" s="50">
        <f t="shared" si="2"/>
        <v>0.0001856138189</v>
      </c>
      <c r="I210" s="51">
        <f t="shared" si="5"/>
        <v>-0.0004137067469</v>
      </c>
    </row>
    <row r="211">
      <c r="A211" s="7">
        <v>43626.0</v>
      </c>
      <c r="B211" s="11">
        <v>26.6774</v>
      </c>
      <c r="C211" s="65">
        <f t="shared" si="3"/>
        <v>-0.0001911365127</v>
      </c>
      <c r="D211" s="42">
        <v>11823.3</v>
      </c>
      <c r="E211" s="40">
        <f t="shared" si="4"/>
        <v>-0.007617057172</v>
      </c>
      <c r="F211" s="43">
        <v>6.919</v>
      </c>
      <c r="G211" s="49">
        <f t="shared" si="1"/>
        <v>0.06919</v>
      </c>
      <c r="H211" s="50">
        <f t="shared" si="2"/>
        <v>0.0001833081755</v>
      </c>
      <c r="I211" s="51">
        <f t="shared" si="5"/>
        <v>-0.01242172276</v>
      </c>
    </row>
    <row r="212">
      <c r="A212" s="7">
        <v>43627.0</v>
      </c>
      <c r="B212" s="11">
        <v>26.775</v>
      </c>
      <c r="C212" s="65">
        <f t="shared" si="3"/>
        <v>0.003658527443</v>
      </c>
      <c r="D212" s="42">
        <v>11672.15</v>
      </c>
      <c r="E212" s="40">
        <f t="shared" si="4"/>
        <v>-0.0127840789</v>
      </c>
      <c r="F212" s="43">
        <v>6.931</v>
      </c>
      <c r="G212" s="49">
        <f t="shared" si="1"/>
        <v>0.06931</v>
      </c>
      <c r="H212" s="50">
        <f t="shared" si="2"/>
        <v>0.0001836157064</v>
      </c>
      <c r="I212" s="51">
        <f t="shared" si="5"/>
        <v>0.001677671618</v>
      </c>
    </row>
    <row r="213">
      <c r="A213" s="7">
        <v>43628.0</v>
      </c>
      <c r="B213" s="11">
        <v>26.6797</v>
      </c>
      <c r="C213" s="65">
        <f t="shared" si="3"/>
        <v>-0.003559290383</v>
      </c>
      <c r="D213" s="42">
        <v>11691.5</v>
      </c>
      <c r="E213" s="40">
        <f t="shared" si="4"/>
        <v>0.001657792266</v>
      </c>
      <c r="F213" s="43">
        <v>6.808</v>
      </c>
      <c r="G213" s="49">
        <f t="shared" si="1"/>
        <v>0.06808</v>
      </c>
      <c r="H213" s="50">
        <f t="shared" si="2"/>
        <v>0.0001804618816</v>
      </c>
      <c r="I213" s="51">
        <f t="shared" si="5"/>
        <v>-0.01717622581</v>
      </c>
    </row>
    <row r="214">
      <c r="A214" s="7">
        <v>43629.0</v>
      </c>
      <c r="B214" s="11">
        <v>26.6314</v>
      </c>
      <c r="C214" s="65">
        <f t="shared" si="3"/>
        <v>-0.001810365184</v>
      </c>
      <c r="D214" s="42">
        <v>11691.45</v>
      </c>
      <c r="E214" s="40">
        <f t="shared" si="4"/>
        <v>-0.000004276611213</v>
      </c>
      <c r="F214" s="43">
        <v>6.841</v>
      </c>
      <c r="G214" s="49">
        <f t="shared" si="1"/>
        <v>0.06841</v>
      </c>
      <c r="H214" s="50">
        <f t="shared" si="2"/>
        <v>0.0001813083851</v>
      </c>
      <c r="I214" s="51">
        <f t="shared" si="5"/>
        <v>0.004690760715</v>
      </c>
    </row>
    <row r="215">
      <c r="A215" s="7">
        <v>43630.0</v>
      </c>
      <c r="B215" s="11">
        <v>26.4167</v>
      </c>
      <c r="C215" s="65">
        <f t="shared" si="3"/>
        <v>-0.008061911878</v>
      </c>
      <c r="D215" s="42">
        <v>11831.75</v>
      </c>
      <c r="E215" s="40">
        <f t="shared" si="4"/>
        <v>0.01200022238</v>
      </c>
      <c r="F215" s="43">
        <v>6.791</v>
      </c>
      <c r="G215" s="49">
        <f t="shared" si="1"/>
        <v>0.06791</v>
      </c>
      <c r="H215" s="50">
        <f t="shared" si="2"/>
        <v>0.0001800257022</v>
      </c>
      <c r="I215" s="51">
        <f t="shared" si="5"/>
        <v>-0.007074592074</v>
      </c>
    </row>
    <row r="216">
      <c r="A216" s="7">
        <v>43633.0</v>
      </c>
      <c r="B216" s="11">
        <v>26.1944</v>
      </c>
      <c r="C216" s="65">
        <f t="shared" si="3"/>
        <v>-0.008415131337</v>
      </c>
      <c r="D216" s="42">
        <v>11724.1</v>
      </c>
      <c r="E216" s="40">
        <f t="shared" si="4"/>
        <v>-0.00909840049</v>
      </c>
      <c r="F216" s="43">
        <v>6.861</v>
      </c>
      <c r="G216" s="49">
        <f t="shared" si="1"/>
        <v>0.06861</v>
      </c>
      <c r="H216" s="50">
        <f t="shared" si="2"/>
        <v>0.0001818212906</v>
      </c>
      <c r="I216" s="51">
        <f t="shared" si="5"/>
        <v>0.009974066915</v>
      </c>
    </row>
    <row r="217">
      <c r="A217" s="7">
        <v>43634.0</v>
      </c>
      <c r="B217" s="11">
        <v>26.2077</v>
      </c>
      <c r="C217" s="65">
        <f t="shared" si="3"/>
        <v>0.0005077421128</v>
      </c>
      <c r="D217" s="42">
        <v>11699.65</v>
      </c>
      <c r="E217" s="40">
        <f t="shared" si="4"/>
        <v>-0.002085447924</v>
      </c>
      <c r="F217" s="43">
        <v>6.851</v>
      </c>
      <c r="G217" s="49">
        <f t="shared" si="1"/>
        <v>0.06851</v>
      </c>
      <c r="H217" s="50">
        <f t="shared" si="2"/>
        <v>0.0001815648498</v>
      </c>
      <c r="I217" s="51">
        <f t="shared" si="5"/>
        <v>-0.001410400288</v>
      </c>
    </row>
    <row r="218">
      <c r="A218" s="7">
        <v>43635.0</v>
      </c>
      <c r="B218" s="11">
        <v>25.9654</v>
      </c>
      <c r="C218" s="65">
        <f t="shared" si="3"/>
        <v>-0.009245374451</v>
      </c>
      <c r="D218" s="42">
        <v>11796.45</v>
      </c>
      <c r="E218" s="40">
        <f t="shared" si="4"/>
        <v>0.008273751779</v>
      </c>
      <c r="F218" s="43">
        <v>6.882</v>
      </c>
      <c r="G218" s="49">
        <f t="shared" si="1"/>
        <v>0.06882</v>
      </c>
      <c r="H218" s="50">
        <f t="shared" si="2"/>
        <v>0.0001823597384</v>
      </c>
      <c r="I218" s="51">
        <f t="shared" si="5"/>
        <v>0.004377987224</v>
      </c>
    </row>
    <row r="219">
      <c r="A219" s="7">
        <v>43636.0</v>
      </c>
      <c r="B219" s="11">
        <v>26.2427</v>
      </c>
      <c r="C219" s="65">
        <f t="shared" si="3"/>
        <v>0.01067959669</v>
      </c>
      <c r="D219" s="42">
        <v>11847.55</v>
      </c>
      <c r="E219" s="40">
        <f t="shared" si="4"/>
        <v>0.004331811689</v>
      </c>
      <c r="F219" s="43">
        <v>6.933</v>
      </c>
      <c r="G219" s="49">
        <f t="shared" si="1"/>
        <v>0.06933</v>
      </c>
      <c r="H219" s="50">
        <f t="shared" si="2"/>
        <v>0.0001836669582</v>
      </c>
      <c r="I219" s="51">
        <f t="shared" si="5"/>
        <v>0.00716835756</v>
      </c>
    </row>
    <row r="220">
      <c r="A220" s="7">
        <v>43637.0</v>
      </c>
      <c r="B220" s="11">
        <v>26.2232</v>
      </c>
      <c r="C220" s="65">
        <f t="shared" si="3"/>
        <v>-0.0007430637854</v>
      </c>
      <c r="D220" s="42">
        <v>11841.55</v>
      </c>
      <c r="E220" s="40">
        <f t="shared" si="4"/>
        <v>-0.0005064338197</v>
      </c>
      <c r="F220" s="43">
        <v>6.897</v>
      </c>
      <c r="G220" s="49">
        <f t="shared" si="1"/>
        <v>0.06897</v>
      </c>
      <c r="H220" s="50">
        <f t="shared" si="2"/>
        <v>0.0001827442794</v>
      </c>
      <c r="I220" s="51">
        <f t="shared" si="5"/>
        <v>-0.005023651738</v>
      </c>
    </row>
    <row r="221">
      <c r="A221" s="7">
        <v>43640.0</v>
      </c>
      <c r="B221" s="11">
        <v>26.1817</v>
      </c>
      <c r="C221" s="65">
        <f t="shared" si="3"/>
        <v>-0.001582568108</v>
      </c>
      <c r="D221" s="42">
        <v>11788.85</v>
      </c>
      <c r="E221" s="40">
        <f t="shared" si="4"/>
        <v>-0.004450430898</v>
      </c>
      <c r="F221" s="43">
        <v>6.879</v>
      </c>
      <c r="G221" s="49">
        <f t="shared" si="1"/>
        <v>0.06879</v>
      </c>
      <c r="H221" s="50">
        <f t="shared" si="2"/>
        <v>0.0001822828237</v>
      </c>
      <c r="I221" s="51">
        <f t="shared" si="5"/>
        <v>-0.002525144046</v>
      </c>
    </row>
    <row r="222">
      <c r="A222" s="7">
        <v>43641.0</v>
      </c>
      <c r="B222" s="11">
        <v>26.2942</v>
      </c>
      <c r="C222" s="65">
        <f t="shared" si="3"/>
        <v>0.004296894396</v>
      </c>
      <c r="D222" s="42">
        <v>11865.6</v>
      </c>
      <c r="E222" s="40">
        <f t="shared" si="4"/>
        <v>0.006510389054</v>
      </c>
      <c r="F222" s="43">
        <v>6.882</v>
      </c>
      <c r="G222" s="49">
        <f t="shared" si="1"/>
        <v>0.06882</v>
      </c>
      <c r="H222" s="50">
        <f t="shared" si="2"/>
        <v>0.0001823597384</v>
      </c>
      <c r="I222" s="51">
        <f t="shared" si="5"/>
        <v>0.0004219522825</v>
      </c>
    </row>
    <row r="223">
      <c r="A223" s="7">
        <v>43642.0</v>
      </c>
      <c r="B223" s="11">
        <v>26.4904</v>
      </c>
      <c r="C223" s="65">
        <f t="shared" si="3"/>
        <v>0.007461721596</v>
      </c>
      <c r="D223" s="42">
        <v>11910.3</v>
      </c>
      <c r="E223" s="40">
        <f t="shared" si="4"/>
        <v>0.003767192557</v>
      </c>
      <c r="F223" s="43">
        <v>6.846</v>
      </c>
      <c r="G223" s="49">
        <f t="shared" si="1"/>
        <v>0.06846</v>
      </c>
      <c r="H223" s="50">
        <f t="shared" si="2"/>
        <v>0.0001814366204</v>
      </c>
      <c r="I223" s="51">
        <f t="shared" si="5"/>
        <v>-0.005062071137</v>
      </c>
    </row>
    <row r="224">
      <c r="A224" s="7">
        <v>43643.0</v>
      </c>
      <c r="B224" s="11">
        <v>26.5347</v>
      </c>
      <c r="C224" s="65">
        <f t="shared" si="3"/>
        <v>0.001672303929</v>
      </c>
      <c r="D224" s="42">
        <v>11916.75</v>
      </c>
      <c r="E224" s="40">
        <f t="shared" si="4"/>
        <v>0.0005415480718</v>
      </c>
      <c r="F224" s="43">
        <v>6.833</v>
      </c>
      <c r="G224" s="49">
        <f t="shared" si="1"/>
        <v>0.06833</v>
      </c>
      <c r="H224" s="50">
        <f t="shared" si="2"/>
        <v>0.000181103196</v>
      </c>
      <c r="I224" s="51">
        <f t="shared" si="5"/>
        <v>-0.001837690674</v>
      </c>
    </row>
    <row r="225">
      <c r="A225" s="7">
        <v>43644.0</v>
      </c>
      <c r="B225" s="11">
        <v>26.7067</v>
      </c>
      <c r="C225" s="65">
        <f t="shared" si="3"/>
        <v>0.006482078184</v>
      </c>
      <c r="D225" s="42">
        <v>11946.75</v>
      </c>
      <c r="E225" s="40">
        <f t="shared" si="4"/>
        <v>0.002517464913</v>
      </c>
      <c r="F225" s="43">
        <v>6.751</v>
      </c>
      <c r="G225" s="49">
        <f t="shared" si="1"/>
        <v>0.06751</v>
      </c>
      <c r="H225" s="50">
        <f t="shared" si="2"/>
        <v>0.0001789991246</v>
      </c>
      <c r="I225" s="51">
        <f t="shared" si="5"/>
        <v>-0.01161808</v>
      </c>
    </row>
    <row r="226">
      <c r="A226" s="13">
        <v>43647.0</v>
      </c>
      <c r="B226" s="11">
        <v>26.8</v>
      </c>
      <c r="C226" s="65">
        <f t="shared" si="3"/>
        <v>0.003493505375</v>
      </c>
      <c r="D226" s="42">
        <v>11811.15</v>
      </c>
      <c r="E226" s="40">
        <f t="shared" si="4"/>
        <v>-0.01135036725</v>
      </c>
      <c r="F226" s="43">
        <v>6.695</v>
      </c>
      <c r="G226" s="49">
        <f t="shared" si="1"/>
        <v>0.06695</v>
      </c>
      <c r="H226" s="50">
        <f t="shared" si="2"/>
        <v>0.0001775612714</v>
      </c>
      <c r="I226" s="51">
        <f t="shared" si="5"/>
        <v>-0.008032739069</v>
      </c>
    </row>
    <row r="227">
      <c r="A227" s="13">
        <v>43648.0</v>
      </c>
      <c r="B227" s="11">
        <v>26.8458</v>
      </c>
      <c r="C227" s="65">
        <f t="shared" si="3"/>
        <v>0.001708955224</v>
      </c>
      <c r="D227" s="42">
        <v>11558.6</v>
      </c>
      <c r="E227" s="40">
        <f t="shared" si="4"/>
        <v>-0.02138233788</v>
      </c>
      <c r="F227" s="43">
        <v>6.562</v>
      </c>
      <c r="G227" s="49">
        <f t="shared" si="1"/>
        <v>0.06562</v>
      </c>
      <c r="H227" s="50">
        <f t="shared" si="2"/>
        <v>0.0001741433513</v>
      </c>
      <c r="I227" s="51">
        <f t="shared" si="5"/>
        <v>-0.01924924287</v>
      </c>
    </row>
    <row r="228">
      <c r="A228" s="13">
        <v>43649.0</v>
      </c>
      <c r="B228" s="11">
        <v>27.0021</v>
      </c>
      <c r="C228" s="65">
        <f t="shared" si="3"/>
        <v>0.005822139776</v>
      </c>
      <c r="D228" s="42">
        <v>11555.9</v>
      </c>
      <c r="E228" s="40">
        <f t="shared" si="4"/>
        <v>-0.0002335923036</v>
      </c>
      <c r="F228" s="43">
        <v>6.588</v>
      </c>
      <c r="G228" s="49">
        <f t="shared" si="1"/>
        <v>0.06588</v>
      </c>
      <c r="H228" s="50">
        <f t="shared" si="2"/>
        <v>0.0001748118506</v>
      </c>
      <c r="I228" s="51">
        <f t="shared" si="5"/>
        <v>0.003838786992</v>
      </c>
    </row>
    <row r="229">
      <c r="A229" s="13">
        <v>43650.0</v>
      </c>
      <c r="B229" s="11">
        <v>27.2371</v>
      </c>
      <c r="C229" s="65">
        <f t="shared" si="3"/>
        <v>0.008703026802</v>
      </c>
      <c r="D229" s="42">
        <v>11498.9</v>
      </c>
      <c r="E229" s="40">
        <f t="shared" si="4"/>
        <v>-0.00493254528</v>
      </c>
      <c r="F229" s="43">
        <v>6.543</v>
      </c>
      <c r="G229" s="49">
        <f t="shared" si="1"/>
        <v>0.06543</v>
      </c>
      <c r="H229" s="50">
        <f t="shared" si="2"/>
        <v>0.0001736547298</v>
      </c>
      <c r="I229" s="51">
        <f t="shared" si="5"/>
        <v>-0.006619235314</v>
      </c>
    </row>
    <row r="230">
      <c r="A230" s="13">
        <v>43651.0</v>
      </c>
      <c r="B230" s="11">
        <v>26.9626</v>
      </c>
      <c r="C230" s="65">
        <f t="shared" si="3"/>
        <v>-0.01007816544</v>
      </c>
      <c r="D230" s="42">
        <v>11582.9</v>
      </c>
      <c r="E230" s="40">
        <f t="shared" si="4"/>
        <v>0.00730504657</v>
      </c>
      <c r="F230" s="43">
        <v>6.493</v>
      </c>
      <c r="G230" s="49">
        <f t="shared" si="1"/>
        <v>0.06493</v>
      </c>
      <c r="H230" s="50">
        <f t="shared" si="2"/>
        <v>0.0001723684683</v>
      </c>
      <c r="I230" s="51">
        <f t="shared" si="5"/>
        <v>-0.007407005366</v>
      </c>
    </row>
    <row r="231">
      <c r="A231" s="13">
        <v>43654.0</v>
      </c>
      <c r="B231" s="11">
        <v>26.2836</v>
      </c>
      <c r="C231" s="65">
        <f t="shared" si="3"/>
        <v>-0.02518303131</v>
      </c>
      <c r="D231" s="42">
        <v>11552.5</v>
      </c>
      <c r="E231" s="40">
        <f t="shared" si="4"/>
        <v>-0.002624558617</v>
      </c>
      <c r="F231" s="43">
        <v>6.488</v>
      </c>
      <c r="G231" s="49">
        <f t="shared" si="1"/>
        <v>0.06488</v>
      </c>
      <c r="H231" s="50">
        <f t="shared" si="2"/>
        <v>0.000172239809</v>
      </c>
      <c r="I231" s="51">
        <f t="shared" si="5"/>
        <v>-0.0007464200144</v>
      </c>
    </row>
    <row r="232">
      <c r="A232" s="13">
        <v>43655.0</v>
      </c>
      <c r="B232" s="11">
        <v>26.4207</v>
      </c>
      <c r="C232" s="65">
        <f t="shared" si="3"/>
        <v>0.005216180432</v>
      </c>
      <c r="D232" s="42">
        <v>11588.35</v>
      </c>
      <c r="E232" s="40">
        <f t="shared" si="4"/>
        <v>0.00310322441</v>
      </c>
      <c r="F232" s="43">
        <v>6.433</v>
      </c>
      <c r="G232" s="49">
        <f t="shared" si="1"/>
        <v>0.06433</v>
      </c>
      <c r="H232" s="50">
        <f t="shared" si="2"/>
        <v>0.0001708241592</v>
      </c>
      <c r="I232" s="51">
        <f t="shared" si="5"/>
        <v>-0.008219062576</v>
      </c>
    </row>
    <row r="233">
      <c r="A233" s="7">
        <v>43656.0</v>
      </c>
      <c r="B233" s="11">
        <v>26.1334</v>
      </c>
      <c r="C233" s="65">
        <f t="shared" si="3"/>
        <v>-0.01087404951</v>
      </c>
      <c r="D233" s="42">
        <v>11662.6</v>
      </c>
      <c r="E233" s="40">
        <f t="shared" si="4"/>
        <v>0.006407296984</v>
      </c>
      <c r="F233" s="43">
        <v>6.331</v>
      </c>
      <c r="G233" s="49">
        <f t="shared" si="1"/>
        <v>0.06331</v>
      </c>
      <c r="H233" s="50">
        <f t="shared" si="2"/>
        <v>0.0001681968403</v>
      </c>
      <c r="I233" s="51">
        <f t="shared" si="5"/>
        <v>-0.01538025405</v>
      </c>
    </row>
    <row r="234">
      <c r="A234" s="7">
        <v>43657.0</v>
      </c>
      <c r="B234" s="11">
        <v>26.5523</v>
      </c>
      <c r="C234" s="65">
        <f t="shared" si="3"/>
        <v>0.01602929584</v>
      </c>
      <c r="D234" s="42">
        <v>11687.5</v>
      </c>
      <c r="E234" s="40">
        <f t="shared" si="4"/>
        <v>0.002135029925</v>
      </c>
      <c r="F234" s="43">
        <v>6.345</v>
      </c>
      <c r="G234" s="49">
        <f t="shared" si="1"/>
        <v>0.06345</v>
      </c>
      <c r="H234" s="50">
        <f t="shared" si="2"/>
        <v>0.0001685576014</v>
      </c>
      <c r="I234" s="51">
        <f t="shared" si="5"/>
        <v>0.002144874916</v>
      </c>
    </row>
    <row r="235">
      <c r="A235" s="7">
        <v>43658.0</v>
      </c>
      <c r="B235" s="11">
        <v>26.7211</v>
      </c>
      <c r="C235" s="65">
        <f t="shared" si="3"/>
        <v>0.006357264719</v>
      </c>
      <c r="D235" s="42">
        <v>11596.9</v>
      </c>
      <c r="E235" s="40">
        <f t="shared" si="4"/>
        <v>-0.007751871658</v>
      </c>
      <c r="F235" s="43">
        <v>6.387</v>
      </c>
      <c r="G235" s="49">
        <f t="shared" si="1"/>
        <v>0.06387</v>
      </c>
      <c r="H235" s="50">
        <f t="shared" si="2"/>
        <v>0.0001696396009</v>
      </c>
      <c r="I235" s="51">
        <f t="shared" si="5"/>
        <v>0.006419167289</v>
      </c>
    </row>
    <row r="236">
      <c r="A236" s="7">
        <v>43661.0</v>
      </c>
      <c r="B236" s="11">
        <v>26.6865</v>
      </c>
      <c r="C236" s="65">
        <f t="shared" si="3"/>
        <v>-0.001294856873</v>
      </c>
      <c r="D236" s="42">
        <v>11419.25</v>
      </c>
      <c r="E236" s="40">
        <f t="shared" si="4"/>
        <v>-0.01531874898</v>
      </c>
      <c r="F236" s="43">
        <v>6.361</v>
      </c>
      <c r="G236" s="49">
        <f t="shared" si="1"/>
        <v>0.06361</v>
      </c>
      <c r="H236" s="50">
        <f t="shared" si="2"/>
        <v>0.0001689698419</v>
      </c>
      <c r="I236" s="51">
        <f t="shared" si="5"/>
        <v>-0.003948128463</v>
      </c>
    </row>
    <row r="237">
      <c r="A237" s="7">
        <v>43662.0</v>
      </c>
      <c r="B237" s="11">
        <v>26.7165</v>
      </c>
      <c r="C237" s="65">
        <f t="shared" si="3"/>
        <v>0.001124163903</v>
      </c>
      <c r="D237" s="42">
        <v>11346.2</v>
      </c>
      <c r="E237" s="40">
        <f t="shared" si="4"/>
        <v>-0.006397092629</v>
      </c>
      <c r="F237" s="43">
        <v>6.418</v>
      </c>
      <c r="G237" s="49">
        <f t="shared" si="1"/>
        <v>0.06418</v>
      </c>
      <c r="H237" s="50">
        <f t="shared" si="2"/>
        <v>0.0001704379463</v>
      </c>
      <c r="I237" s="51">
        <f t="shared" si="5"/>
        <v>0.008688558532</v>
      </c>
    </row>
    <row r="238">
      <c r="A238" s="7">
        <v>43663.0</v>
      </c>
      <c r="B238" s="11">
        <v>26.7911</v>
      </c>
      <c r="C238" s="65">
        <f t="shared" si="3"/>
        <v>0.002792281923</v>
      </c>
      <c r="D238" s="42">
        <v>11331.05</v>
      </c>
      <c r="E238" s="40">
        <f t="shared" si="4"/>
        <v>-0.001335248806</v>
      </c>
      <c r="F238" s="43">
        <v>6.464</v>
      </c>
      <c r="G238" s="49">
        <f t="shared" si="1"/>
        <v>0.06464</v>
      </c>
      <c r="H238" s="50">
        <f t="shared" si="2"/>
        <v>0.0001716221606</v>
      </c>
      <c r="I238" s="51">
        <f t="shared" si="5"/>
        <v>0.00694806714</v>
      </c>
    </row>
    <row r="239">
      <c r="A239" s="7">
        <v>43664.0</v>
      </c>
      <c r="B239" s="11">
        <v>26.5472</v>
      </c>
      <c r="C239" s="65">
        <f t="shared" si="3"/>
        <v>-0.009103769535</v>
      </c>
      <c r="D239" s="42">
        <v>11271.3</v>
      </c>
      <c r="E239" s="40">
        <f t="shared" si="4"/>
        <v>-0.005273121202</v>
      </c>
      <c r="F239" s="43">
        <v>6.438</v>
      </c>
      <c r="G239" s="49">
        <f t="shared" si="1"/>
        <v>0.06438</v>
      </c>
      <c r="H239" s="50">
        <f t="shared" si="2"/>
        <v>0.0001709528848</v>
      </c>
      <c r="I239" s="51">
        <f t="shared" si="5"/>
        <v>-0.003899705023</v>
      </c>
    </row>
    <row r="240">
      <c r="A240" s="7">
        <v>43665.0</v>
      </c>
      <c r="B240" s="11">
        <v>26.1885</v>
      </c>
      <c r="C240" s="65">
        <f t="shared" si="3"/>
        <v>-0.01351178279</v>
      </c>
      <c r="D240" s="42">
        <v>11252.15</v>
      </c>
      <c r="E240" s="40">
        <f t="shared" si="4"/>
        <v>-0.001699005439</v>
      </c>
      <c r="F240" s="43">
        <v>6.514</v>
      </c>
      <c r="G240" s="49">
        <f t="shared" si="1"/>
        <v>0.06514</v>
      </c>
      <c r="H240" s="50">
        <f t="shared" si="2"/>
        <v>0.0001729087714</v>
      </c>
      <c r="I240" s="51">
        <f t="shared" si="5"/>
        <v>0.01144108592</v>
      </c>
    </row>
    <row r="241">
      <c r="A241" s="7">
        <v>43668.0</v>
      </c>
      <c r="B241" s="11">
        <v>26.0691</v>
      </c>
      <c r="C241" s="65">
        <f t="shared" si="3"/>
        <v>-0.004559253107</v>
      </c>
      <c r="D241" s="42">
        <v>11284.3</v>
      </c>
      <c r="E241" s="40">
        <f t="shared" si="4"/>
        <v>0.002857231729</v>
      </c>
      <c r="F241" s="43">
        <v>6.525</v>
      </c>
      <c r="G241" s="49">
        <f t="shared" si="1"/>
        <v>0.06525</v>
      </c>
      <c r="H241" s="50">
        <f t="shared" si="2"/>
        <v>0.000173191745</v>
      </c>
      <c r="I241" s="51">
        <f t="shared" si="5"/>
        <v>0.001636548291</v>
      </c>
    </row>
    <row r="242">
      <c r="A242" s="7">
        <v>43669.0</v>
      </c>
      <c r="B242" s="11">
        <v>25.9387</v>
      </c>
      <c r="C242" s="65">
        <f t="shared" si="3"/>
        <v>-0.005002090598</v>
      </c>
      <c r="D242" s="42">
        <v>11189.2</v>
      </c>
      <c r="E242" s="40">
        <f t="shared" si="4"/>
        <v>-0.0084276384</v>
      </c>
      <c r="F242" s="43">
        <v>6.412</v>
      </c>
      <c r="G242" s="49">
        <f t="shared" si="1"/>
        <v>0.06412</v>
      </c>
      <c r="H242" s="50">
        <f t="shared" si="2"/>
        <v>0.0001702834459</v>
      </c>
      <c r="I242" s="51">
        <f t="shared" si="5"/>
        <v>-0.01679236535</v>
      </c>
    </row>
    <row r="243">
      <c r="A243" s="7">
        <v>43670.0</v>
      </c>
      <c r="B243" s="11">
        <v>25.5642</v>
      </c>
      <c r="C243" s="65">
        <f t="shared" si="3"/>
        <v>-0.01443788625</v>
      </c>
      <c r="D243" s="42">
        <v>11085.4</v>
      </c>
      <c r="E243" s="40">
        <f t="shared" si="4"/>
        <v>-0.009276802631</v>
      </c>
      <c r="F243" s="48">
        <v>6.387</v>
      </c>
      <c r="G243" s="49">
        <f t="shared" si="1"/>
        <v>0.06387</v>
      </c>
      <c r="H243" s="50">
        <f t="shared" si="2"/>
        <v>0.0001696396009</v>
      </c>
      <c r="I243" s="51">
        <f t="shared" si="5"/>
        <v>-0.003781019664</v>
      </c>
    </row>
    <row r="244">
      <c r="A244" s="7">
        <v>43671.0</v>
      </c>
      <c r="B244" s="11">
        <v>25.7241</v>
      </c>
      <c r="C244" s="65">
        <f t="shared" si="3"/>
        <v>0.006254840754</v>
      </c>
      <c r="D244" s="69">
        <v>11118.0</v>
      </c>
      <c r="E244" s="40">
        <f t="shared" si="4"/>
        <v>0.002940805023</v>
      </c>
      <c r="F244" s="43">
        <v>6.369</v>
      </c>
      <c r="G244" s="49">
        <f t="shared" si="1"/>
        <v>0.06369</v>
      </c>
      <c r="H244" s="50">
        <f t="shared" si="2"/>
        <v>0.000169175939</v>
      </c>
      <c r="I244" s="51">
        <f t="shared" si="5"/>
        <v>-0.002733217202</v>
      </c>
    </row>
    <row r="245">
      <c r="A245" s="7">
        <v>43678.0</v>
      </c>
      <c r="B245" s="11">
        <v>25.7556</v>
      </c>
      <c r="C245" s="65">
        <f t="shared" si="3"/>
        <v>0.001224532637</v>
      </c>
      <c r="D245" s="70">
        <v>10980.0</v>
      </c>
      <c r="E245" s="71">
        <f t="shared" si="4"/>
        <v>-0.01241230437</v>
      </c>
      <c r="F245" s="72">
        <v>6.423</v>
      </c>
      <c r="G245" s="73">
        <f t="shared" si="1"/>
        <v>0.06423</v>
      </c>
      <c r="H245" s="74">
        <f t="shared" si="2"/>
        <v>0.00017056669</v>
      </c>
      <c r="I245" s="75">
        <f t="shared" si="5"/>
        <v>0.008220737412</v>
      </c>
    </row>
    <row r="246">
      <c r="A246" s="7"/>
      <c r="B246" s="11"/>
      <c r="D246" s="5"/>
      <c r="E246" s="5"/>
      <c r="F246" s="5"/>
      <c r="G246" s="5"/>
      <c r="H246" s="9"/>
      <c r="I246" s="10"/>
    </row>
    <row r="247">
      <c r="A247" s="7"/>
      <c r="B247" s="11"/>
      <c r="D247" s="5"/>
      <c r="E247" s="5"/>
      <c r="F247" s="5"/>
      <c r="G247" s="5"/>
      <c r="H247" s="9"/>
      <c r="I247" s="10"/>
    </row>
    <row r="248">
      <c r="A248" s="76" t="s">
        <v>35</v>
      </c>
      <c r="B248" s="11"/>
      <c r="C248" s="65">
        <f>average(C5:C245)</f>
        <v>-0.0002661113367</v>
      </c>
      <c r="D248" s="5">
        <f t="shared" ref="D248:I248" si="6">AVERAGE(D4:D245)</f>
        <v>11179.21157</v>
      </c>
      <c r="E248" s="77">
        <f t="shared" si="6"/>
        <v>-0.00009807723871</v>
      </c>
      <c r="F248" s="5">
        <f t="shared" si="6"/>
        <v>7.458446281</v>
      </c>
      <c r="G248" s="5">
        <f t="shared" si="6"/>
        <v>0.07458446281</v>
      </c>
      <c r="H248" s="5">
        <f t="shared" si="6"/>
        <v>0.000197076328</v>
      </c>
      <c r="I248" s="77">
        <f t="shared" si="6"/>
        <v>-0.0007069170763</v>
      </c>
    </row>
    <row r="249">
      <c r="A249" s="76" t="s">
        <v>36</v>
      </c>
      <c r="B249" s="11"/>
      <c r="C249" s="65">
        <f>stdev(C5:C245)</f>
        <v>0.008997259525</v>
      </c>
      <c r="D249" s="5">
        <f t="shared" ref="D249:I249" si="7">STDEV(D4:D245)</f>
        <v>485.5886639</v>
      </c>
      <c r="E249" s="5">
        <f t="shared" si="7"/>
        <v>0.008743152214</v>
      </c>
      <c r="F249" s="5">
        <f t="shared" si="7"/>
        <v>0.4380210202</v>
      </c>
      <c r="G249" s="5">
        <f t="shared" si="7"/>
        <v>0.004380210202</v>
      </c>
      <c r="H249" s="5">
        <f t="shared" si="7"/>
        <v>0.00001118755215</v>
      </c>
      <c r="I249" s="5">
        <f t="shared" si="7"/>
        <v>0.006459345241</v>
      </c>
    </row>
    <row r="250">
      <c r="A250" s="76" t="s">
        <v>37</v>
      </c>
      <c r="C250" s="65">
        <f>INTERCEPT(C5:C245,E5:E245)</f>
        <v>-0.0002327005678</v>
      </c>
      <c r="D250" s="78"/>
      <c r="E250" s="5"/>
      <c r="F250" s="5"/>
      <c r="G250" s="5"/>
      <c r="H250" s="9"/>
      <c r="I250" s="10"/>
    </row>
    <row r="251">
      <c r="A251" s="76" t="s">
        <v>38</v>
      </c>
      <c r="C251" s="65">
        <f>SLOPE(C5:C245,E5:E245)</f>
        <v>0.3406577232</v>
      </c>
      <c r="D251" s="78"/>
      <c r="E251" s="5"/>
      <c r="F251" s="5"/>
      <c r="G251" s="5"/>
      <c r="H251" s="9"/>
      <c r="I251" s="10"/>
    </row>
    <row r="252">
      <c r="D252" s="78"/>
      <c r="E252" s="5"/>
      <c r="F252" s="5"/>
      <c r="G252" s="5"/>
      <c r="H252" s="9"/>
      <c r="I252" s="10"/>
    </row>
    <row r="253">
      <c r="D253" s="78"/>
      <c r="E253" s="5"/>
      <c r="F253" s="5"/>
      <c r="G253" s="5"/>
      <c r="H253" s="9"/>
      <c r="I253" s="10"/>
    </row>
    <row r="254">
      <c r="D254" s="78"/>
      <c r="E254" s="5"/>
      <c r="F254" s="5"/>
      <c r="G254" s="5"/>
      <c r="H254" s="9"/>
      <c r="I254" s="10"/>
    </row>
    <row r="255">
      <c r="A255" s="79"/>
      <c r="B255" s="80" t="s">
        <v>39</v>
      </c>
      <c r="C255" s="80" t="s">
        <v>40</v>
      </c>
      <c r="D255" s="78"/>
      <c r="E255" s="5"/>
      <c r="F255" s="5"/>
      <c r="G255" s="5"/>
      <c r="H255" s="9"/>
      <c r="I255" s="10"/>
    </row>
    <row r="256">
      <c r="A256" s="81" t="s">
        <v>41</v>
      </c>
      <c r="B256" s="82">
        <f>C248-(I248+C251*(E248-I248))</f>
        <v>0.0002333997467</v>
      </c>
      <c r="C256" s="83">
        <v>0.0</v>
      </c>
      <c r="D256" s="78"/>
      <c r="E256" s="76"/>
      <c r="F256" s="5"/>
      <c r="G256" s="5"/>
      <c r="H256" s="9"/>
      <c r="I256" s="10"/>
    </row>
    <row r="257">
      <c r="A257" s="81" t="s">
        <v>42</v>
      </c>
      <c r="B257" s="82">
        <f>(C248-I248)/C251</f>
        <v>0.001293984283</v>
      </c>
      <c r="C257" s="82">
        <f>(E248-I248)</f>
        <v>0.0006088398376</v>
      </c>
      <c r="D257" s="78"/>
      <c r="E257" s="76"/>
      <c r="F257" s="5"/>
      <c r="G257" s="5"/>
      <c r="H257" s="9"/>
      <c r="I257" s="10"/>
    </row>
    <row r="258">
      <c r="A258" s="81" t="s">
        <v>43</v>
      </c>
      <c r="B258" s="82">
        <f>(C248-I248)/C249</f>
        <v>0.04899333385</v>
      </c>
      <c r="C258" s="82">
        <f>(E248-I248)/E249</f>
        <v>0.06963619329</v>
      </c>
      <c r="D258" s="78"/>
      <c r="E258" s="76"/>
      <c r="F258" s="5"/>
      <c r="G258" s="5"/>
      <c r="H258" s="9"/>
      <c r="I258" s="10"/>
    </row>
    <row r="259">
      <c r="A259" s="81" t="s">
        <v>44</v>
      </c>
      <c r="B259" s="82">
        <f>E249*(B258-C258)</f>
        <v>-0.0001804836623</v>
      </c>
      <c r="C259" s="83">
        <v>0.0</v>
      </c>
      <c r="D259" s="78"/>
      <c r="E259" s="5"/>
      <c r="F259" s="5"/>
      <c r="G259" s="5"/>
      <c r="H259" s="9"/>
      <c r="I259" s="10"/>
    </row>
    <row r="260">
      <c r="D260" s="78"/>
      <c r="E260" s="5"/>
      <c r="F260" s="5"/>
      <c r="G260" s="5"/>
      <c r="H260" s="9"/>
      <c r="I260" s="10"/>
    </row>
    <row r="261">
      <c r="D261" s="78"/>
      <c r="E261" s="5"/>
      <c r="F261" s="5"/>
      <c r="G261" s="5"/>
      <c r="H261" s="9"/>
      <c r="I261" s="10"/>
    </row>
    <row r="262">
      <c r="D262" s="78"/>
      <c r="E262" s="5"/>
      <c r="F262" s="5"/>
      <c r="G262" s="5"/>
      <c r="H262" s="9"/>
      <c r="I262" s="10"/>
    </row>
    <row r="263">
      <c r="D263" s="78"/>
      <c r="E263" s="5"/>
      <c r="F263" s="5"/>
      <c r="G263" s="5"/>
      <c r="H263" s="9"/>
      <c r="I263" s="10"/>
    </row>
    <row r="264">
      <c r="D264" s="78"/>
      <c r="E264" s="5"/>
      <c r="F264" s="5"/>
      <c r="G264" s="5"/>
      <c r="H264" s="9"/>
      <c r="I264" s="10"/>
    </row>
    <row r="265">
      <c r="D265" s="78"/>
      <c r="E265" s="5"/>
      <c r="F265" s="5"/>
      <c r="G265" s="5"/>
      <c r="H265" s="9"/>
      <c r="I265" s="10"/>
    </row>
    <row r="266">
      <c r="D266" s="78"/>
      <c r="E266" s="5"/>
      <c r="F266" s="5"/>
      <c r="G266" s="5"/>
      <c r="H266" s="9"/>
      <c r="I266" s="10"/>
    </row>
    <row r="267">
      <c r="D267" s="78"/>
      <c r="E267" s="5"/>
      <c r="F267" s="5"/>
      <c r="G267" s="5"/>
      <c r="H267" s="9"/>
      <c r="I267" s="10"/>
    </row>
    <row r="268">
      <c r="D268" s="78"/>
      <c r="E268" s="5"/>
      <c r="F268" s="5"/>
      <c r="G268" s="5"/>
      <c r="H268" s="9"/>
      <c r="I268" s="10"/>
    </row>
    <row r="269">
      <c r="D269" s="78"/>
      <c r="E269" s="5"/>
      <c r="F269" s="5"/>
      <c r="G269" s="5"/>
      <c r="H269" s="9"/>
      <c r="I269" s="10"/>
    </row>
    <row r="270">
      <c r="D270" s="78"/>
      <c r="E270" s="5"/>
      <c r="F270" s="5"/>
      <c r="G270" s="5"/>
      <c r="H270" s="9"/>
      <c r="I270" s="10"/>
    </row>
    <row r="271">
      <c r="D271" s="78"/>
      <c r="E271" s="5"/>
      <c r="F271" s="5"/>
      <c r="G271" s="5"/>
      <c r="H271" s="9"/>
      <c r="I271" s="10"/>
    </row>
    <row r="272">
      <c r="D272" s="78"/>
      <c r="E272" s="5"/>
      <c r="F272" s="5"/>
      <c r="G272" s="5"/>
      <c r="H272" s="9"/>
      <c r="I272" s="10"/>
    </row>
    <row r="273">
      <c r="D273" s="78"/>
      <c r="E273" s="5"/>
      <c r="F273" s="5"/>
      <c r="G273" s="5"/>
      <c r="H273" s="9"/>
      <c r="I273" s="10"/>
    </row>
    <row r="274">
      <c r="D274" s="78"/>
      <c r="E274" s="5"/>
      <c r="F274" s="5"/>
      <c r="G274" s="5"/>
      <c r="H274" s="9"/>
      <c r="I274" s="10"/>
    </row>
    <row r="275">
      <c r="D275" s="78"/>
      <c r="E275" s="5"/>
      <c r="F275" s="5"/>
      <c r="G275" s="5"/>
      <c r="H275" s="9"/>
      <c r="I275" s="10"/>
    </row>
    <row r="276">
      <c r="D276" s="78"/>
      <c r="E276" s="5"/>
      <c r="F276" s="5"/>
      <c r="G276" s="5"/>
      <c r="H276" s="9"/>
      <c r="I276" s="10"/>
    </row>
    <row r="277">
      <c r="D277" s="78"/>
      <c r="E277" s="5"/>
      <c r="F277" s="5"/>
      <c r="G277" s="5"/>
      <c r="H277" s="9"/>
      <c r="I277" s="10"/>
    </row>
    <row r="278">
      <c r="D278" s="78"/>
      <c r="E278" s="5"/>
      <c r="F278" s="5"/>
      <c r="G278" s="5"/>
      <c r="H278" s="9"/>
      <c r="I278" s="10"/>
    </row>
    <row r="279">
      <c r="D279" s="78"/>
      <c r="E279" s="5"/>
      <c r="F279" s="5"/>
      <c r="G279" s="5"/>
      <c r="H279" s="9"/>
      <c r="I279" s="10"/>
    </row>
    <row r="280">
      <c r="D280" s="78"/>
      <c r="E280" s="5"/>
      <c r="F280" s="5"/>
      <c r="G280" s="5"/>
      <c r="H280" s="9"/>
      <c r="I280" s="10"/>
    </row>
    <row r="281">
      <c r="D281" s="78"/>
      <c r="E281" s="5"/>
      <c r="F281" s="5"/>
      <c r="G281" s="5"/>
      <c r="H281" s="9"/>
      <c r="I281" s="10"/>
    </row>
    <row r="282">
      <c r="D282" s="78"/>
      <c r="E282" s="5"/>
      <c r="F282" s="5"/>
      <c r="G282" s="5"/>
      <c r="H282" s="9"/>
      <c r="I282" s="10"/>
    </row>
    <row r="283">
      <c r="D283" s="78"/>
      <c r="E283" s="5"/>
      <c r="F283" s="5"/>
      <c r="G283" s="5"/>
      <c r="H283" s="9"/>
      <c r="I283" s="10"/>
    </row>
    <row r="284">
      <c r="D284" s="78"/>
      <c r="E284" s="5"/>
      <c r="F284" s="5"/>
      <c r="G284" s="5"/>
      <c r="H284" s="9"/>
      <c r="I284" s="10"/>
    </row>
    <row r="285">
      <c r="D285" s="78"/>
      <c r="E285" s="5"/>
      <c r="F285" s="5"/>
      <c r="G285" s="5"/>
      <c r="H285" s="9"/>
      <c r="I285" s="10"/>
    </row>
    <row r="286">
      <c r="D286" s="78"/>
      <c r="E286" s="5"/>
      <c r="F286" s="5"/>
      <c r="G286" s="5"/>
      <c r="H286" s="9"/>
      <c r="I286" s="10"/>
    </row>
    <row r="287">
      <c r="D287" s="78"/>
      <c r="E287" s="5"/>
      <c r="F287" s="5"/>
      <c r="G287" s="5"/>
      <c r="H287" s="9"/>
      <c r="I287" s="10"/>
    </row>
    <row r="288">
      <c r="D288" s="78"/>
      <c r="E288" s="5"/>
      <c r="F288" s="5"/>
      <c r="G288" s="5"/>
      <c r="H288" s="9"/>
      <c r="I288" s="10"/>
    </row>
    <row r="289">
      <c r="D289" s="78"/>
      <c r="E289" s="5"/>
      <c r="F289" s="5"/>
      <c r="G289" s="5"/>
      <c r="H289" s="9"/>
      <c r="I289" s="10"/>
    </row>
    <row r="290">
      <c r="D290" s="78"/>
      <c r="E290" s="5"/>
      <c r="F290" s="5"/>
      <c r="G290" s="5"/>
      <c r="H290" s="9"/>
      <c r="I290" s="10"/>
    </row>
    <row r="291">
      <c r="D291" s="78"/>
      <c r="E291" s="5"/>
      <c r="F291" s="5"/>
      <c r="G291" s="5"/>
      <c r="H291" s="9"/>
      <c r="I291" s="10"/>
    </row>
    <row r="292">
      <c r="D292" s="78"/>
      <c r="E292" s="5"/>
      <c r="F292" s="5"/>
      <c r="G292" s="5"/>
      <c r="H292" s="9"/>
      <c r="I292" s="10"/>
    </row>
    <row r="293">
      <c r="D293" s="78"/>
      <c r="E293" s="5"/>
      <c r="F293" s="5"/>
      <c r="G293" s="5"/>
      <c r="H293" s="9"/>
      <c r="I293" s="10"/>
    </row>
    <row r="294">
      <c r="D294" s="78"/>
      <c r="E294" s="5"/>
      <c r="F294" s="5"/>
      <c r="G294" s="5"/>
      <c r="H294" s="9"/>
      <c r="I294" s="10"/>
    </row>
    <row r="295">
      <c r="D295" s="78"/>
      <c r="E295" s="5"/>
      <c r="F295" s="5"/>
      <c r="G295" s="5"/>
      <c r="H295" s="9"/>
      <c r="I295" s="10"/>
    </row>
    <row r="296">
      <c r="D296" s="78"/>
      <c r="E296" s="5"/>
      <c r="F296" s="5"/>
      <c r="G296" s="5"/>
      <c r="H296" s="9"/>
      <c r="I296" s="10"/>
    </row>
    <row r="297">
      <c r="D297" s="78"/>
      <c r="E297" s="5"/>
      <c r="F297" s="5"/>
      <c r="G297" s="5"/>
      <c r="H297" s="9"/>
      <c r="I297" s="10"/>
    </row>
    <row r="298">
      <c r="D298" s="78"/>
      <c r="E298" s="5"/>
      <c r="F298" s="5"/>
      <c r="G298" s="5"/>
      <c r="H298" s="9"/>
      <c r="I298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</cols>
  <sheetData>
    <row r="1">
      <c r="C1" s="4">
        <v>138298.0</v>
      </c>
      <c r="D1" s="1" t="s">
        <v>30</v>
      </c>
      <c r="I1" s="1" t="s">
        <v>31</v>
      </c>
      <c r="J1" s="1" t="s">
        <v>32</v>
      </c>
    </row>
    <row r="3">
      <c r="A3" s="62" t="s">
        <v>0</v>
      </c>
      <c r="B3" s="62" t="s">
        <v>33</v>
      </c>
      <c r="C3" s="62" t="s">
        <v>34</v>
      </c>
      <c r="D3" s="22" t="s">
        <v>16</v>
      </c>
      <c r="E3" s="23" t="s">
        <v>17</v>
      </c>
      <c r="F3" s="22" t="s">
        <v>18</v>
      </c>
      <c r="G3" s="26" t="s">
        <v>19</v>
      </c>
      <c r="H3" s="29" t="s">
        <v>21</v>
      </c>
      <c r="I3" s="31" t="s">
        <v>22</v>
      </c>
    </row>
    <row r="4">
      <c r="A4" s="13">
        <v>43313.0</v>
      </c>
      <c r="B4" s="11">
        <v>106.6984</v>
      </c>
      <c r="D4" s="42">
        <v>11346.2</v>
      </c>
      <c r="E4" s="40"/>
      <c r="F4" s="43">
        <v>7.701</v>
      </c>
      <c r="G4" s="49">
        <f t="shared" ref="G4:G245" si="1">F4/100</f>
        <v>0.07701</v>
      </c>
      <c r="H4" s="50">
        <f t="shared" ref="H4:H245" si="2">(1+G4)^(1/365) - 1</f>
        <v>0.0002032773243</v>
      </c>
      <c r="I4" s="51"/>
    </row>
    <row r="5">
      <c r="A5" s="13">
        <v>43314.0</v>
      </c>
      <c r="B5" s="11">
        <v>106.7202</v>
      </c>
      <c r="C5" s="65">
        <f t="shared" ref="C5:C245" si="3">(B5-B4)/B4</f>
        <v>0.0002043142165</v>
      </c>
      <c r="D5" s="42">
        <v>11244.7</v>
      </c>
      <c r="E5" s="40">
        <f t="shared" ref="E5:E245" si="4">(D5-D4)/D4</f>
        <v>-0.008945726322</v>
      </c>
      <c r="F5" s="43">
        <v>7.721</v>
      </c>
      <c r="G5" s="49">
        <f t="shared" si="1"/>
        <v>0.07721</v>
      </c>
      <c r="H5" s="50">
        <f t="shared" si="2"/>
        <v>0.0002037861458</v>
      </c>
      <c r="I5" s="51">
        <f t="shared" ref="I5:I245" si="5">(H5-H4)/H4</f>
        <v>0.002503090332</v>
      </c>
    </row>
    <row r="6">
      <c r="A6" s="13">
        <v>43315.0</v>
      </c>
      <c r="B6" s="11">
        <v>106.7414</v>
      </c>
      <c r="C6" s="65">
        <f t="shared" si="3"/>
        <v>0.0001986503024</v>
      </c>
      <c r="D6" s="42">
        <v>11360.8</v>
      </c>
      <c r="E6" s="40">
        <f t="shared" si="4"/>
        <v>0.01032486416</v>
      </c>
      <c r="F6" s="43">
        <v>7.763</v>
      </c>
      <c r="G6" s="49">
        <f t="shared" si="1"/>
        <v>0.07763</v>
      </c>
      <c r="H6" s="50">
        <f t="shared" si="2"/>
        <v>0.0002048543644</v>
      </c>
      <c r="I6" s="51">
        <f t="shared" si="5"/>
        <v>0.00524186062</v>
      </c>
    </row>
    <row r="7">
      <c r="A7" s="13">
        <v>43316.0</v>
      </c>
      <c r="B7" s="11">
        <v>106.7635</v>
      </c>
      <c r="C7" s="65">
        <f t="shared" si="3"/>
        <v>0.0002070424409</v>
      </c>
      <c r="D7" s="42">
        <v>11387.1</v>
      </c>
      <c r="E7" s="40">
        <f t="shared" si="4"/>
        <v>0.002314977818</v>
      </c>
      <c r="F7" s="43">
        <v>7.768</v>
      </c>
      <c r="G7" s="49">
        <f t="shared" si="1"/>
        <v>0.07768</v>
      </c>
      <c r="H7" s="50">
        <f t="shared" si="2"/>
        <v>0.0002049815056</v>
      </c>
      <c r="I7" s="51">
        <f t="shared" si="5"/>
        <v>0.0006206419915</v>
      </c>
    </row>
    <row r="8">
      <c r="A8" s="13">
        <v>43317.0</v>
      </c>
      <c r="B8" s="11">
        <v>106.7859</v>
      </c>
      <c r="C8" s="65">
        <f t="shared" si="3"/>
        <v>0.0002098095323</v>
      </c>
      <c r="D8" s="42">
        <v>11389.45</v>
      </c>
      <c r="E8" s="40">
        <f t="shared" si="4"/>
        <v>0.0002063738792</v>
      </c>
      <c r="F8" s="43">
        <v>7.786</v>
      </c>
      <c r="G8" s="49">
        <f t="shared" si="1"/>
        <v>0.07786</v>
      </c>
      <c r="H8" s="50">
        <f t="shared" si="2"/>
        <v>0.0002054391653</v>
      </c>
      <c r="I8" s="51">
        <f t="shared" si="5"/>
        <v>0.002232687725</v>
      </c>
    </row>
    <row r="9">
      <c r="A9" s="13">
        <v>43318.0</v>
      </c>
      <c r="B9" s="11">
        <v>106.8068</v>
      </c>
      <c r="C9" s="65">
        <f t="shared" si="3"/>
        <v>0.0001957187232</v>
      </c>
      <c r="D9" s="42">
        <v>11450.0</v>
      </c>
      <c r="E9" s="40">
        <f t="shared" si="4"/>
        <v>0.00531632344</v>
      </c>
      <c r="F9" s="43">
        <v>7.782</v>
      </c>
      <c r="G9" s="49">
        <f t="shared" si="1"/>
        <v>0.07782</v>
      </c>
      <c r="H9" s="50">
        <f t="shared" si="2"/>
        <v>0.0002053374697</v>
      </c>
      <c r="I9" s="51">
        <f t="shared" si="5"/>
        <v>-0.0004950154771</v>
      </c>
    </row>
    <row r="10">
      <c r="A10" s="13">
        <v>43319.0</v>
      </c>
      <c r="B10" s="11">
        <v>106.8274</v>
      </c>
      <c r="C10" s="65">
        <f t="shared" si="3"/>
        <v>0.0001928716149</v>
      </c>
      <c r="D10" s="42">
        <v>11470.7</v>
      </c>
      <c r="E10" s="40">
        <f t="shared" si="4"/>
        <v>0.001807860262</v>
      </c>
      <c r="F10" s="43">
        <v>7.745</v>
      </c>
      <c r="G10" s="49">
        <f t="shared" si="1"/>
        <v>0.07745</v>
      </c>
      <c r="H10" s="50">
        <f t="shared" si="2"/>
        <v>0.0002043966073</v>
      </c>
      <c r="I10" s="51">
        <f t="shared" si="5"/>
        <v>-0.004582030051</v>
      </c>
    </row>
    <row r="11">
      <c r="A11" s="13">
        <v>43320.0</v>
      </c>
      <c r="B11" s="11">
        <v>106.848</v>
      </c>
      <c r="C11" s="65">
        <f t="shared" si="3"/>
        <v>0.0001928344226</v>
      </c>
      <c r="D11" s="42">
        <v>11429.5</v>
      </c>
      <c r="E11" s="40">
        <f t="shared" si="4"/>
        <v>-0.003591759875</v>
      </c>
      <c r="F11" s="43">
        <v>7.754</v>
      </c>
      <c r="G11" s="49">
        <f t="shared" si="1"/>
        <v>0.07754</v>
      </c>
      <c r="H11" s="50">
        <f t="shared" si="2"/>
        <v>0.0002046254953</v>
      </c>
      <c r="I11" s="51">
        <f t="shared" si="5"/>
        <v>0.001119823322</v>
      </c>
    </row>
    <row r="12">
      <c r="A12" s="13">
        <v>43321.0</v>
      </c>
      <c r="B12" s="11">
        <v>106.869</v>
      </c>
      <c r="C12" s="65">
        <f t="shared" si="3"/>
        <v>0.0001965408805</v>
      </c>
      <c r="D12" s="42">
        <v>11355.75</v>
      </c>
      <c r="E12" s="40">
        <f t="shared" si="4"/>
        <v>-0.006452600726</v>
      </c>
      <c r="F12" s="43">
        <v>7.823</v>
      </c>
      <c r="G12" s="49">
        <f t="shared" si="1"/>
        <v>0.07823</v>
      </c>
      <c r="H12" s="50">
        <f t="shared" si="2"/>
        <v>0.0002063796709</v>
      </c>
      <c r="I12" s="51">
        <f t="shared" si="5"/>
        <v>0.008572614779</v>
      </c>
    </row>
    <row r="13">
      <c r="A13" s="7">
        <v>43322.0</v>
      </c>
      <c r="B13" s="11">
        <v>106.8889</v>
      </c>
      <c r="C13" s="65">
        <f t="shared" si="3"/>
        <v>0.0001862092843</v>
      </c>
      <c r="D13" s="42">
        <v>11435.1</v>
      </c>
      <c r="E13" s="40">
        <f t="shared" si="4"/>
        <v>0.006987649429</v>
      </c>
      <c r="F13" s="43">
        <v>7.818</v>
      </c>
      <c r="G13" s="49">
        <f t="shared" si="1"/>
        <v>0.07818</v>
      </c>
      <c r="H13" s="50">
        <f t="shared" si="2"/>
        <v>0.0002062525943</v>
      </c>
      <c r="I13" s="51">
        <f t="shared" si="5"/>
        <v>-0.0006157415713</v>
      </c>
    </row>
    <row r="14">
      <c r="A14" s="7">
        <v>43323.0</v>
      </c>
      <c r="B14" s="11">
        <v>106.9094</v>
      </c>
      <c r="C14" s="65">
        <f t="shared" si="3"/>
        <v>0.0001917879219</v>
      </c>
      <c r="D14" s="42">
        <v>11385.05</v>
      </c>
      <c r="E14" s="40">
        <f t="shared" si="4"/>
        <v>-0.00437687471</v>
      </c>
      <c r="F14" s="43">
        <v>7.861</v>
      </c>
      <c r="G14" s="49">
        <f t="shared" si="1"/>
        <v>0.07861</v>
      </c>
      <c r="H14" s="50">
        <f t="shared" si="2"/>
        <v>0.0002073452606</v>
      </c>
      <c r="I14" s="51">
        <f t="shared" si="5"/>
        <v>0.005297709177</v>
      </c>
    </row>
    <row r="15">
      <c r="A15" s="7">
        <v>43324.0</v>
      </c>
      <c r="B15" s="11">
        <v>106.93</v>
      </c>
      <c r="C15" s="65">
        <f t="shared" si="3"/>
        <v>0.0001926865177</v>
      </c>
      <c r="D15" s="42">
        <v>11470.75</v>
      </c>
      <c r="E15" s="40">
        <f t="shared" si="4"/>
        <v>0.007527415339</v>
      </c>
      <c r="F15" s="43">
        <v>7.838</v>
      </c>
      <c r="G15" s="49">
        <f t="shared" si="1"/>
        <v>0.07838</v>
      </c>
      <c r="H15" s="50">
        <f t="shared" si="2"/>
        <v>0.0002067608653</v>
      </c>
      <c r="I15" s="51">
        <f t="shared" si="5"/>
        <v>-0.002818464941</v>
      </c>
    </row>
    <row r="16">
      <c r="A16" s="7">
        <v>43325.0</v>
      </c>
      <c r="B16" s="11">
        <v>106.9496</v>
      </c>
      <c r="C16" s="65">
        <f t="shared" si="3"/>
        <v>0.0001832974843</v>
      </c>
      <c r="D16" s="42">
        <v>11551.75</v>
      </c>
      <c r="E16" s="40">
        <f t="shared" si="4"/>
        <v>0.007061438877</v>
      </c>
      <c r="F16" s="43">
        <v>7.827</v>
      </c>
      <c r="G16" s="49">
        <f t="shared" si="1"/>
        <v>0.07827</v>
      </c>
      <c r="H16" s="50">
        <f t="shared" si="2"/>
        <v>0.0002064813279</v>
      </c>
      <c r="I16" s="51">
        <f t="shared" si="5"/>
        <v>-0.001351983936</v>
      </c>
    </row>
    <row r="17">
      <c r="A17" s="7">
        <v>43326.0</v>
      </c>
      <c r="B17" s="11">
        <v>106.9712</v>
      </c>
      <c r="C17" s="65">
        <f t="shared" si="3"/>
        <v>0.0002019642897</v>
      </c>
      <c r="D17" s="42">
        <v>11570.9</v>
      </c>
      <c r="E17" s="40">
        <f t="shared" si="4"/>
        <v>0.001657757483</v>
      </c>
      <c r="F17" s="43">
        <v>7.879</v>
      </c>
      <c r="G17" s="49">
        <f t="shared" si="1"/>
        <v>0.07879</v>
      </c>
      <c r="H17" s="50">
        <f t="shared" si="2"/>
        <v>0.0002078025268</v>
      </c>
      <c r="I17" s="51">
        <f t="shared" si="5"/>
        <v>0.006398636287</v>
      </c>
    </row>
    <row r="18">
      <c r="A18" s="7">
        <v>43327.0</v>
      </c>
      <c r="B18" s="11">
        <v>106.9916</v>
      </c>
      <c r="C18" s="65">
        <f t="shared" si="3"/>
        <v>0.0001907055357</v>
      </c>
      <c r="D18" s="42">
        <v>11582.75</v>
      </c>
      <c r="E18" s="40">
        <f t="shared" si="4"/>
        <v>0.001024120855</v>
      </c>
      <c r="F18" s="43">
        <v>7.871</v>
      </c>
      <c r="G18" s="49">
        <f t="shared" si="1"/>
        <v>0.07871</v>
      </c>
      <c r="H18" s="50">
        <f t="shared" si="2"/>
        <v>0.0002075993068</v>
      </c>
      <c r="I18" s="51">
        <f t="shared" si="5"/>
        <v>-0.0009779478224</v>
      </c>
    </row>
    <row r="19">
      <c r="A19" s="7">
        <v>43328.0</v>
      </c>
      <c r="B19" s="11">
        <v>107.0117</v>
      </c>
      <c r="C19" s="65">
        <f t="shared" si="3"/>
        <v>0.0001878652156</v>
      </c>
      <c r="D19" s="42">
        <v>11557.1</v>
      </c>
      <c r="E19" s="40">
        <f t="shared" si="4"/>
        <v>-0.002214500011</v>
      </c>
      <c r="F19" s="43">
        <v>7.894</v>
      </c>
      <c r="G19" s="49">
        <f t="shared" si="1"/>
        <v>0.07894</v>
      </c>
      <c r="H19" s="50">
        <f t="shared" si="2"/>
        <v>0.0002081835239</v>
      </c>
      <c r="I19" s="51">
        <f t="shared" si="5"/>
        <v>0.00281415717</v>
      </c>
    </row>
    <row r="20">
      <c r="A20" s="7">
        <v>43329.0</v>
      </c>
      <c r="B20" s="11">
        <v>107.0323</v>
      </c>
      <c r="C20" s="65">
        <f t="shared" si="3"/>
        <v>0.0001925023152</v>
      </c>
      <c r="D20" s="42">
        <v>11691.95</v>
      </c>
      <c r="E20" s="40">
        <f t="shared" si="4"/>
        <v>0.01166815205</v>
      </c>
      <c r="F20" s="43">
        <v>7.895</v>
      </c>
      <c r="G20" s="49">
        <f t="shared" si="1"/>
        <v>0.07895</v>
      </c>
      <c r="H20" s="50">
        <f t="shared" si="2"/>
        <v>0.0002082089218</v>
      </c>
      <c r="I20" s="51">
        <f t="shared" si="5"/>
        <v>0.0001219977673</v>
      </c>
    </row>
    <row r="21">
      <c r="A21" s="7">
        <v>43330.0</v>
      </c>
      <c r="B21" s="11">
        <v>107.0529</v>
      </c>
      <c r="C21" s="65">
        <f t="shared" si="3"/>
        <v>0.0001924652652</v>
      </c>
      <c r="D21" s="42">
        <v>11738.5</v>
      </c>
      <c r="E21" s="40">
        <f t="shared" si="4"/>
        <v>0.003981371799</v>
      </c>
      <c r="F21" s="43">
        <v>7.918</v>
      </c>
      <c r="G21" s="49">
        <f t="shared" si="1"/>
        <v>0.07918</v>
      </c>
      <c r="H21" s="50">
        <f t="shared" si="2"/>
        <v>0.0002087930093</v>
      </c>
      <c r="I21" s="51">
        <f t="shared" si="5"/>
        <v>0.00280529523</v>
      </c>
    </row>
    <row r="22">
      <c r="A22" s="7">
        <v>43331.0</v>
      </c>
      <c r="B22" s="11">
        <v>107.0737</v>
      </c>
      <c r="C22" s="65">
        <f t="shared" si="3"/>
        <v>0.0001942964646</v>
      </c>
      <c r="D22" s="42">
        <v>11691.9</v>
      </c>
      <c r="E22" s="40">
        <f t="shared" si="4"/>
        <v>-0.003969842825</v>
      </c>
      <c r="F22" s="43">
        <v>7.93</v>
      </c>
      <c r="G22" s="49">
        <f t="shared" si="1"/>
        <v>0.0793</v>
      </c>
      <c r="H22" s="50">
        <f t="shared" si="2"/>
        <v>0.0002090977013</v>
      </c>
      <c r="I22" s="51">
        <f t="shared" si="5"/>
        <v>0.001459301838</v>
      </c>
    </row>
    <row r="23">
      <c r="A23" s="7">
        <v>43332.0</v>
      </c>
      <c r="B23" s="11">
        <v>107.0942</v>
      </c>
      <c r="C23" s="65">
        <f t="shared" si="3"/>
        <v>0.0001914569124</v>
      </c>
      <c r="D23" s="42">
        <v>11676.8</v>
      </c>
      <c r="E23" s="40">
        <f t="shared" si="4"/>
        <v>-0.001291492401</v>
      </c>
      <c r="F23" s="43">
        <v>7.951</v>
      </c>
      <c r="G23" s="49">
        <f t="shared" si="1"/>
        <v>0.07951</v>
      </c>
      <c r="H23" s="50">
        <f t="shared" si="2"/>
        <v>0.0002096308311</v>
      </c>
      <c r="I23" s="51">
        <f t="shared" si="5"/>
        <v>0.00254966818</v>
      </c>
    </row>
    <row r="24">
      <c r="A24" s="7">
        <v>43333.0</v>
      </c>
      <c r="B24" s="11">
        <v>107.1142</v>
      </c>
      <c r="C24" s="65">
        <f t="shared" si="3"/>
        <v>0.0001867514767</v>
      </c>
      <c r="D24" s="42">
        <v>11680.5</v>
      </c>
      <c r="E24" s="40">
        <f t="shared" si="4"/>
        <v>0.000316867635</v>
      </c>
      <c r="F24" s="43">
        <v>7.999</v>
      </c>
      <c r="G24" s="49">
        <f t="shared" si="1"/>
        <v>0.07999</v>
      </c>
      <c r="H24" s="50">
        <f t="shared" si="2"/>
        <v>0.0002108490251</v>
      </c>
      <c r="I24" s="51">
        <f t="shared" si="5"/>
        <v>0.005811139589</v>
      </c>
    </row>
    <row r="25">
      <c r="A25" s="7">
        <v>43334.0</v>
      </c>
      <c r="B25" s="11">
        <v>107.135</v>
      </c>
      <c r="C25" s="65">
        <f t="shared" si="3"/>
        <v>0.0001941852714</v>
      </c>
      <c r="D25" s="42">
        <v>11582.35</v>
      </c>
      <c r="E25" s="40">
        <f t="shared" si="4"/>
        <v>-0.008402893712</v>
      </c>
      <c r="F25" s="43">
        <v>8.062</v>
      </c>
      <c r="G25" s="49">
        <f t="shared" si="1"/>
        <v>0.08062</v>
      </c>
      <c r="H25" s="50">
        <f t="shared" si="2"/>
        <v>0.0002124470856</v>
      </c>
      <c r="I25" s="51">
        <f t="shared" si="5"/>
        <v>0.007579169536</v>
      </c>
    </row>
    <row r="26">
      <c r="A26" s="7">
        <v>43335.0</v>
      </c>
      <c r="B26" s="11">
        <v>107.1564</v>
      </c>
      <c r="C26" s="65">
        <f t="shared" si="3"/>
        <v>0.0001997479815</v>
      </c>
      <c r="D26" s="42">
        <v>11520.3</v>
      </c>
      <c r="E26" s="40">
        <f t="shared" si="4"/>
        <v>-0.005357289324</v>
      </c>
      <c r="F26" s="43">
        <v>8.049</v>
      </c>
      <c r="G26" s="49">
        <f t="shared" si="1"/>
        <v>0.08049</v>
      </c>
      <c r="H26" s="50">
        <f t="shared" si="2"/>
        <v>0.0002121174032</v>
      </c>
      <c r="I26" s="51">
        <f t="shared" si="5"/>
        <v>-0.00155183312</v>
      </c>
    </row>
    <row r="27">
      <c r="A27" s="7">
        <v>43336.0</v>
      </c>
      <c r="B27" s="11">
        <v>107.1758</v>
      </c>
      <c r="C27" s="65">
        <f t="shared" si="3"/>
        <v>0.0001810437827</v>
      </c>
      <c r="D27" s="42">
        <v>11476.95</v>
      </c>
      <c r="E27" s="40">
        <f t="shared" si="4"/>
        <v>-0.003762922841</v>
      </c>
      <c r="F27" s="43">
        <v>8.056</v>
      </c>
      <c r="G27" s="49">
        <f t="shared" si="1"/>
        <v>0.08056</v>
      </c>
      <c r="H27" s="50">
        <f t="shared" si="2"/>
        <v>0.0002122949294</v>
      </c>
      <c r="I27" s="51">
        <f t="shared" si="5"/>
        <v>0.0008369243519</v>
      </c>
    </row>
    <row r="28">
      <c r="A28" s="7">
        <v>43337.0</v>
      </c>
      <c r="B28" s="11">
        <v>107.1967</v>
      </c>
      <c r="C28" s="65">
        <f t="shared" si="3"/>
        <v>0.0001950067086</v>
      </c>
      <c r="D28" s="42">
        <v>11536.9</v>
      </c>
      <c r="E28" s="40">
        <f t="shared" si="4"/>
        <v>0.005223513216</v>
      </c>
      <c r="F28" s="43">
        <v>8.031</v>
      </c>
      <c r="G28" s="49">
        <f t="shared" si="1"/>
        <v>0.08031</v>
      </c>
      <c r="H28" s="50">
        <f t="shared" si="2"/>
        <v>0.0002116608545</v>
      </c>
      <c r="I28" s="51">
        <f t="shared" si="5"/>
        <v>-0.002986764162</v>
      </c>
    </row>
    <row r="29">
      <c r="A29" s="7">
        <v>43338.0</v>
      </c>
      <c r="B29" s="11">
        <v>107.2176</v>
      </c>
      <c r="C29" s="65">
        <f t="shared" si="3"/>
        <v>0.0001949686884</v>
      </c>
      <c r="D29" s="42">
        <v>11589.1</v>
      </c>
      <c r="E29" s="40">
        <f t="shared" si="4"/>
        <v>0.004524612331</v>
      </c>
      <c r="F29" s="43">
        <v>8.158</v>
      </c>
      <c r="G29" s="49">
        <f t="shared" si="1"/>
        <v>0.08158</v>
      </c>
      <c r="H29" s="50">
        <f t="shared" si="2"/>
        <v>0.0002148804397</v>
      </c>
      <c r="I29" s="51">
        <f t="shared" si="5"/>
        <v>0.01521105641</v>
      </c>
    </row>
    <row r="30">
      <c r="A30" s="7">
        <v>43339.0</v>
      </c>
      <c r="B30" s="11">
        <v>107.2384</v>
      </c>
      <c r="C30" s="65">
        <f t="shared" si="3"/>
        <v>0.0001939980003</v>
      </c>
      <c r="D30" s="42">
        <v>11438.1</v>
      </c>
      <c r="E30" s="40">
        <f t="shared" si="4"/>
        <v>-0.0130294846</v>
      </c>
      <c r="F30" s="43">
        <v>8.182</v>
      </c>
      <c r="G30" s="49">
        <f t="shared" si="1"/>
        <v>0.08182</v>
      </c>
      <c r="H30" s="50">
        <f t="shared" si="2"/>
        <v>0.0002154884417</v>
      </c>
      <c r="I30" s="51">
        <f t="shared" si="5"/>
        <v>0.002829489644</v>
      </c>
    </row>
    <row r="31">
      <c r="A31" s="7">
        <v>43340.0</v>
      </c>
      <c r="B31" s="11">
        <v>107.2596</v>
      </c>
      <c r="C31" s="65">
        <f t="shared" si="3"/>
        <v>0.0001976903796</v>
      </c>
      <c r="D31" s="42">
        <v>11287.5</v>
      </c>
      <c r="E31" s="40">
        <f t="shared" si="4"/>
        <v>-0.01316652241</v>
      </c>
      <c r="F31" s="43">
        <v>8.134</v>
      </c>
      <c r="G31" s="49">
        <f t="shared" si="1"/>
        <v>0.08134</v>
      </c>
      <c r="H31" s="50">
        <f t="shared" si="2"/>
        <v>0.0002142723032</v>
      </c>
      <c r="I31" s="51">
        <f t="shared" si="5"/>
        <v>-0.005643636882</v>
      </c>
    </row>
    <row r="32">
      <c r="A32" s="7">
        <v>43341.0</v>
      </c>
      <c r="B32" s="11">
        <v>107.2812</v>
      </c>
      <c r="C32" s="65">
        <f t="shared" si="3"/>
        <v>0.0002013805757</v>
      </c>
      <c r="D32" s="42">
        <v>11369.9</v>
      </c>
      <c r="E32" s="40">
        <f t="shared" si="4"/>
        <v>0.007300110742</v>
      </c>
      <c r="F32" s="43">
        <v>8.127</v>
      </c>
      <c r="G32" s="49">
        <f t="shared" si="1"/>
        <v>0.08127</v>
      </c>
      <c r="H32" s="50">
        <f t="shared" si="2"/>
        <v>0.0002140949046</v>
      </c>
      <c r="I32" s="51">
        <f t="shared" si="5"/>
        <v>-0.0008279115393</v>
      </c>
    </row>
    <row r="33">
      <c r="A33" s="7">
        <v>43342.0</v>
      </c>
      <c r="B33" s="11">
        <v>107.3022</v>
      </c>
      <c r="C33" s="65">
        <f t="shared" si="3"/>
        <v>0.0001957472511</v>
      </c>
      <c r="D33" s="42">
        <v>11515.2</v>
      </c>
      <c r="E33" s="40">
        <f t="shared" si="4"/>
        <v>0.01277935602</v>
      </c>
      <c r="F33" s="43">
        <v>8.124</v>
      </c>
      <c r="G33" s="49">
        <f t="shared" si="1"/>
        <v>0.08124</v>
      </c>
      <c r="H33" s="50">
        <f t="shared" si="2"/>
        <v>0.0002140188732</v>
      </c>
      <c r="I33" s="51">
        <f t="shared" si="5"/>
        <v>-0.0003551296092</v>
      </c>
    </row>
    <row r="34">
      <c r="A34" s="7">
        <v>43343.0</v>
      </c>
      <c r="B34" s="11">
        <v>107.3225</v>
      </c>
      <c r="C34" s="65">
        <f t="shared" si="3"/>
        <v>0.0001891853103</v>
      </c>
      <c r="D34" s="42">
        <v>11377.75</v>
      </c>
      <c r="E34" s="40">
        <f t="shared" si="4"/>
        <v>-0.01193639711</v>
      </c>
      <c r="F34" s="43">
        <v>8.098</v>
      </c>
      <c r="G34" s="49">
        <f t="shared" si="1"/>
        <v>0.08098</v>
      </c>
      <c r="H34" s="50">
        <f t="shared" si="2"/>
        <v>0.0002133598459</v>
      </c>
      <c r="I34" s="51">
        <f t="shared" si="5"/>
        <v>-0.003079295179</v>
      </c>
    </row>
    <row r="35">
      <c r="A35" s="13">
        <v>43344.0</v>
      </c>
      <c r="B35" s="11">
        <v>106.7934</v>
      </c>
      <c r="C35" s="65">
        <f t="shared" si="3"/>
        <v>-0.004930000699</v>
      </c>
      <c r="D35" s="42">
        <v>11278.9</v>
      </c>
      <c r="E35" s="40">
        <f t="shared" si="4"/>
        <v>-0.008688009492</v>
      </c>
      <c r="F35" s="43">
        <v>8.14</v>
      </c>
      <c r="G35" s="49">
        <f t="shared" si="1"/>
        <v>0.0814</v>
      </c>
      <c r="H35" s="50">
        <f t="shared" si="2"/>
        <v>0.0002144243499</v>
      </c>
      <c r="I35" s="51">
        <f t="shared" si="5"/>
        <v>0.004989242399</v>
      </c>
    </row>
    <row r="36">
      <c r="A36" s="13">
        <v>43345.0</v>
      </c>
      <c r="B36" s="11">
        <v>106.8141</v>
      </c>
      <c r="C36" s="65">
        <f t="shared" si="3"/>
        <v>0.0001938322031</v>
      </c>
      <c r="D36" s="42">
        <v>11234.35</v>
      </c>
      <c r="E36" s="40">
        <f t="shared" si="4"/>
        <v>-0.003949853266</v>
      </c>
      <c r="F36" s="43">
        <v>8.074</v>
      </c>
      <c r="G36" s="49">
        <f t="shared" si="1"/>
        <v>0.08074</v>
      </c>
      <c r="H36" s="50">
        <f t="shared" si="2"/>
        <v>0.0002127513727</v>
      </c>
      <c r="I36" s="51">
        <f t="shared" si="5"/>
        <v>-0.007802179127</v>
      </c>
    </row>
    <row r="37">
      <c r="A37" s="13">
        <v>43346.0</v>
      </c>
      <c r="B37" s="11">
        <v>106.8356</v>
      </c>
      <c r="C37" s="65">
        <f t="shared" si="3"/>
        <v>0.0002012842874</v>
      </c>
      <c r="D37" s="42">
        <v>11143.1</v>
      </c>
      <c r="E37" s="40">
        <f t="shared" si="4"/>
        <v>-0.008122410286</v>
      </c>
      <c r="F37" s="43">
        <v>8.076</v>
      </c>
      <c r="G37" s="49">
        <f t="shared" si="1"/>
        <v>0.08076</v>
      </c>
      <c r="H37" s="50">
        <f t="shared" si="2"/>
        <v>0.000212802084</v>
      </c>
      <c r="I37" s="51">
        <f t="shared" si="5"/>
        <v>0.0002383591968</v>
      </c>
    </row>
    <row r="38">
      <c r="A38" s="13">
        <v>43347.0</v>
      </c>
      <c r="B38" s="11">
        <v>106.8565</v>
      </c>
      <c r="C38" s="65">
        <f t="shared" si="3"/>
        <v>0.0001956276747</v>
      </c>
      <c r="D38" s="42">
        <v>10967.4</v>
      </c>
      <c r="E38" s="40">
        <f t="shared" si="4"/>
        <v>-0.01576760507</v>
      </c>
      <c r="F38" s="43">
        <v>8.122</v>
      </c>
      <c r="G38" s="49">
        <f t="shared" si="1"/>
        <v>0.08122</v>
      </c>
      <c r="H38" s="50">
        <f t="shared" si="2"/>
        <v>0.0002139681844</v>
      </c>
      <c r="I38" s="51">
        <f t="shared" si="5"/>
        <v>0.00547974164</v>
      </c>
    </row>
    <row r="39">
      <c r="A39" s="13">
        <v>43348.0</v>
      </c>
      <c r="B39" s="11">
        <v>106.8775</v>
      </c>
      <c r="C39" s="65">
        <f t="shared" si="3"/>
        <v>0.0001965252465</v>
      </c>
      <c r="D39" s="42">
        <v>11067.45</v>
      </c>
      <c r="E39" s="40">
        <f t="shared" si="4"/>
        <v>0.009122490289</v>
      </c>
      <c r="F39" s="43">
        <v>8.125</v>
      </c>
      <c r="G39" s="49">
        <f t="shared" si="1"/>
        <v>0.08125</v>
      </c>
      <c r="H39" s="50">
        <f t="shared" si="2"/>
        <v>0.0002140442172</v>
      </c>
      <c r="I39" s="51">
        <f t="shared" si="5"/>
        <v>0.0003553464861</v>
      </c>
    </row>
    <row r="40">
      <c r="A40" s="13">
        <v>43349.0</v>
      </c>
      <c r="B40" s="11">
        <v>106.8984</v>
      </c>
      <c r="C40" s="65">
        <f t="shared" si="3"/>
        <v>0.0001955509813</v>
      </c>
      <c r="D40" s="42">
        <v>11053.8</v>
      </c>
      <c r="E40" s="40">
        <f t="shared" si="4"/>
        <v>-0.001233346435</v>
      </c>
      <c r="F40" s="43">
        <v>8.072</v>
      </c>
      <c r="G40" s="49">
        <f t="shared" si="1"/>
        <v>0.08072</v>
      </c>
      <c r="H40" s="50">
        <f t="shared" si="2"/>
        <v>0.0002127006605</v>
      </c>
      <c r="I40" s="51">
        <f t="shared" si="5"/>
        <v>-0.00627700542</v>
      </c>
    </row>
    <row r="41">
      <c r="A41" s="13">
        <v>43350.0</v>
      </c>
      <c r="B41" s="11">
        <v>106.9191</v>
      </c>
      <c r="C41" s="65">
        <f t="shared" si="3"/>
        <v>0.0001936418132</v>
      </c>
      <c r="D41" s="42">
        <v>10977.55</v>
      </c>
      <c r="E41" s="40">
        <f t="shared" si="4"/>
        <v>-0.006898080298</v>
      </c>
      <c r="F41" s="43">
        <v>8.027</v>
      </c>
      <c r="G41" s="49">
        <f t="shared" si="1"/>
        <v>0.08027</v>
      </c>
      <c r="H41" s="50">
        <f t="shared" si="2"/>
        <v>0.0002115593889</v>
      </c>
      <c r="I41" s="51">
        <f t="shared" si="5"/>
        <v>-0.005365623218</v>
      </c>
    </row>
    <row r="42">
      <c r="A42" s="13">
        <v>43351.0</v>
      </c>
      <c r="B42" s="11">
        <v>106.9399</v>
      </c>
      <c r="C42" s="65">
        <f t="shared" si="3"/>
        <v>0.0001945396099</v>
      </c>
      <c r="D42" s="42">
        <v>10930.45</v>
      </c>
      <c r="E42" s="40">
        <f t="shared" si="4"/>
        <v>-0.004290574855</v>
      </c>
      <c r="F42" s="43">
        <v>8.024</v>
      </c>
      <c r="G42" s="49">
        <f t="shared" si="1"/>
        <v>0.08024</v>
      </c>
      <c r="H42" s="50">
        <f t="shared" si="2"/>
        <v>0.0002114832873</v>
      </c>
      <c r="I42" s="51">
        <f t="shared" si="5"/>
        <v>-0.0003597175728</v>
      </c>
    </row>
    <row r="43">
      <c r="A43" s="13">
        <v>43352.0</v>
      </c>
      <c r="B43" s="11">
        <v>106.9606</v>
      </c>
      <c r="C43" s="65">
        <f t="shared" si="3"/>
        <v>0.0001935666669</v>
      </c>
      <c r="D43" s="42">
        <v>11008.3</v>
      </c>
      <c r="E43" s="40">
        <f t="shared" si="4"/>
        <v>0.00712230512</v>
      </c>
      <c r="F43" s="43">
        <v>7.988</v>
      </c>
      <c r="G43" s="49">
        <f t="shared" si="1"/>
        <v>0.07988</v>
      </c>
      <c r="H43" s="50">
        <f t="shared" si="2"/>
        <v>0.0002105699033</v>
      </c>
      <c r="I43" s="51">
        <f t="shared" si="5"/>
        <v>-0.004318941719</v>
      </c>
    </row>
    <row r="44">
      <c r="A44" s="7">
        <v>43353.0</v>
      </c>
      <c r="B44" s="11">
        <v>106.9798</v>
      </c>
      <c r="C44" s="65">
        <f t="shared" si="3"/>
        <v>0.0001795053506</v>
      </c>
      <c r="D44" s="42">
        <v>10858.25</v>
      </c>
      <c r="E44" s="40">
        <f t="shared" si="4"/>
        <v>-0.01363062417</v>
      </c>
      <c r="F44" s="43">
        <v>8.112</v>
      </c>
      <c r="G44" s="49">
        <f t="shared" si="1"/>
        <v>0.08112</v>
      </c>
      <c r="H44" s="50">
        <f t="shared" si="2"/>
        <v>0.0002137147264</v>
      </c>
      <c r="I44" s="51">
        <f t="shared" si="5"/>
        <v>0.01493481757</v>
      </c>
    </row>
    <row r="45">
      <c r="A45" s="7">
        <v>43354.0</v>
      </c>
      <c r="B45" s="11">
        <v>106.9983</v>
      </c>
      <c r="C45" s="65">
        <f t="shared" si="3"/>
        <v>0.0001729298428</v>
      </c>
      <c r="D45" s="42">
        <v>10599.25</v>
      </c>
      <c r="E45" s="40">
        <f t="shared" si="4"/>
        <v>-0.0238528308</v>
      </c>
      <c r="F45" s="43">
        <v>8.158</v>
      </c>
      <c r="G45" s="49">
        <f t="shared" si="1"/>
        <v>0.08158</v>
      </c>
      <c r="H45" s="50">
        <f t="shared" si="2"/>
        <v>0.0002148804397</v>
      </c>
      <c r="I45" s="51">
        <f t="shared" si="5"/>
        <v>0.005454529544</v>
      </c>
    </row>
    <row r="46">
      <c r="A46" s="7">
        <v>43355.0</v>
      </c>
      <c r="B46" s="11">
        <v>107.0179</v>
      </c>
      <c r="C46" s="65">
        <f t="shared" si="3"/>
        <v>0.0001831804804</v>
      </c>
      <c r="D46" s="42">
        <v>10316.45</v>
      </c>
      <c r="E46" s="40">
        <f t="shared" si="4"/>
        <v>-0.0266811331</v>
      </c>
      <c r="F46" s="43">
        <v>8.024</v>
      </c>
      <c r="G46" s="49">
        <f t="shared" si="1"/>
        <v>0.08024</v>
      </c>
      <c r="H46" s="50">
        <f t="shared" si="2"/>
        <v>0.0002114832873</v>
      </c>
      <c r="I46" s="51">
        <f t="shared" si="5"/>
        <v>-0.01580950036</v>
      </c>
    </row>
    <row r="47">
      <c r="A47" s="7">
        <v>43356.0</v>
      </c>
      <c r="B47" s="11">
        <v>107.0389</v>
      </c>
      <c r="C47" s="65">
        <f t="shared" si="3"/>
        <v>0.0001962288552</v>
      </c>
      <c r="D47" s="42">
        <v>10348.05</v>
      </c>
      <c r="E47" s="40">
        <f t="shared" si="4"/>
        <v>0.003063069176</v>
      </c>
      <c r="F47" s="43">
        <v>7.974</v>
      </c>
      <c r="G47" s="49">
        <f t="shared" si="1"/>
        <v>0.07974</v>
      </c>
      <c r="H47" s="50">
        <f t="shared" si="2"/>
        <v>0.0002102146164</v>
      </c>
      <c r="I47" s="51">
        <f t="shared" si="5"/>
        <v>-0.005998917948</v>
      </c>
    </row>
    <row r="48">
      <c r="A48" s="7">
        <v>43357.0</v>
      </c>
      <c r="B48" s="11">
        <v>107.0595</v>
      </c>
      <c r="C48" s="65">
        <f t="shared" si="3"/>
        <v>0.0001924533978</v>
      </c>
      <c r="D48" s="42">
        <v>10301.05</v>
      </c>
      <c r="E48" s="40">
        <f t="shared" si="4"/>
        <v>-0.004541918526</v>
      </c>
      <c r="F48" s="43">
        <v>8.076</v>
      </c>
      <c r="G48" s="49">
        <f t="shared" si="1"/>
        <v>0.08076</v>
      </c>
      <c r="H48" s="50">
        <f t="shared" si="2"/>
        <v>0.000212802084</v>
      </c>
      <c r="I48" s="51">
        <f t="shared" si="5"/>
        <v>0.01230869477</v>
      </c>
    </row>
    <row r="49">
      <c r="A49" s="7">
        <v>43358.0</v>
      </c>
      <c r="B49" s="11">
        <v>107.0807</v>
      </c>
      <c r="C49" s="65">
        <f t="shared" si="3"/>
        <v>0.0001980207268</v>
      </c>
      <c r="D49" s="42">
        <v>10460.1</v>
      </c>
      <c r="E49" s="40">
        <f t="shared" si="4"/>
        <v>0.01544017357</v>
      </c>
      <c r="F49" s="43">
        <v>8.031</v>
      </c>
      <c r="G49" s="49">
        <f t="shared" si="1"/>
        <v>0.08031</v>
      </c>
      <c r="H49" s="50">
        <f t="shared" si="2"/>
        <v>0.0002116608545</v>
      </c>
      <c r="I49" s="51">
        <f t="shared" si="5"/>
        <v>-0.005362867923</v>
      </c>
    </row>
    <row r="50">
      <c r="A50" s="7">
        <v>43359.0</v>
      </c>
      <c r="B50" s="11">
        <v>107.1019</v>
      </c>
      <c r="C50" s="65">
        <f t="shared" si="3"/>
        <v>0.0001979815223</v>
      </c>
      <c r="D50" s="42">
        <v>10234.65</v>
      </c>
      <c r="E50" s="40">
        <f t="shared" si="4"/>
        <v>-0.02155333123</v>
      </c>
      <c r="F50" s="43">
        <v>7.986</v>
      </c>
      <c r="G50" s="49">
        <f t="shared" si="1"/>
        <v>0.07986</v>
      </c>
      <c r="H50" s="50">
        <f t="shared" si="2"/>
        <v>0.0002105191509</v>
      </c>
      <c r="I50" s="51">
        <f t="shared" si="5"/>
        <v>-0.005394023588</v>
      </c>
    </row>
    <row r="51">
      <c r="A51" s="7">
        <v>43360.0</v>
      </c>
      <c r="B51" s="11">
        <v>107.1217</v>
      </c>
      <c r="C51" s="65">
        <f t="shared" si="3"/>
        <v>0.0001848706699</v>
      </c>
      <c r="D51" s="42">
        <v>10472.5</v>
      </c>
      <c r="E51" s="40">
        <f t="shared" si="4"/>
        <v>0.02323968089</v>
      </c>
      <c r="F51" s="43">
        <v>7.984</v>
      </c>
      <c r="G51" s="49">
        <f t="shared" si="1"/>
        <v>0.07984</v>
      </c>
      <c r="H51" s="50">
        <f t="shared" si="2"/>
        <v>0.0002104683975</v>
      </c>
      <c r="I51" s="51">
        <f t="shared" si="5"/>
        <v>-0.0002410868357</v>
      </c>
    </row>
    <row r="52">
      <c r="A52" s="7">
        <v>43361.0</v>
      </c>
      <c r="B52" s="11">
        <v>107.143</v>
      </c>
      <c r="C52" s="65">
        <f t="shared" si="3"/>
        <v>0.0001988392641</v>
      </c>
      <c r="D52" s="42">
        <v>10512.5</v>
      </c>
      <c r="E52" s="40">
        <f t="shared" si="4"/>
        <v>0.003819527333</v>
      </c>
      <c r="F52" s="43">
        <v>7.921</v>
      </c>
      <c r="G52" s="49">
        <f t="shared" si="1"/>
        <v>0.07921</v>
      </c>
      <c r="H52" s="50">
        <f t="shared" si="2"/>
        <v>0.0002088691855</v>
      </c>
      <c r="I52" s="51">
        <f t="shared" si="5"/>
        <v>-0.007598347423</v>
      </c>
    </row>
    <row r="53">
      <c r="A53" s="7">
        <v>43362.0</v>
      </c>
      <c r="B53" s="11">
        <v>107.1645</v>
      </c>
      <c r="C53" s="65">
        <f t="shared" si="3"/>
        <v>0.0002006663991</v>
      </c>
      <c r="D53" s="42">
        <v>10584.75</v>
      </c>
      <c r="E53" s="40">
        <f t="shared" si="4"/>
        <v>0.006872770511</v>
      </c>
      <c r="F53" s="43">
        <v>7.872</v>
      </c>
      <c r="G53" s="49">
        <f t="shared" si="1"/>
        <v>0.07872</v>
      </c>
      <c r="H53" s="50">
        <f t="shared" si="2"/>
        <v>0.0002076247101</v>
      </c>
      <c r="I53" s="51">
        <f t="shared" si="5"/>
        <v>-0.005958156741</v>
      </c>
    </row>
    <row r="54">
      <c r="A54" s="7">
        <v>43363.0</v>
      </c>
      <c r="B54" s="11">
        <v>107.1856</v>
      </c>
      <c r="C54" s="65">
        <f t="shared" si="3"/>
        <v>0.0001968935608</v>
      </c>
      <c r="D54" s="42">
        <v>10453.05</v>
      </c>
      <c r="E54" s="40">
        <f t="shared" si="4"/>
        <v>-0.01244242897</v>
      </c>
      <c r="F54" s="43">
        <v>7.909</v>
      </c>
      <c r="G54" s="49">
        <f t="shared" si="1"/>
        <v>0.07909</v>
      </c>
      <c r="H54" s="50">
        <f t="shared" si="2"/>
        <v>0.0002085644681</v>
      </c>
      <c r="I54" s="51">
        <f t="shared" si="5"/>
        <v>0.004526233805</v>
      </c>
    </row>
    <row r="55">
      <c r="A55" s="7">
        <v>43364.0</v>
      </c>
      <c r="B55" s="11">
        <v>107.2059</v>
      </c>
      <c r="C55" s="65">
        <f t="shared" si="3"/>
        <v>0.0001893911122</v>
      </c>
      <c r="D55" s="42">
        <v>10303.55</v>
      </c>
      <c r="E55" s="40">
        <f t="shared" si="4"/>
        <v>-0.01430204581</v>
      </c>
      <c r="F55" s="43">
        <v>7.921</v>
      </c>
      <c r="G55" s="49">
        <f t="shared" si="1"/>
        <v>0.07921</v>
      </c>
      <c r="H55" s="50">
        <f t="shared" si="2"/>
        <v>0.0002088691855</v>
      </c>
      <c r="I55" s="51">
        <f t="shared" si="5"/>
        <v>0.001461022418</v>
      </c>
    </row>
    <row r="56">
      <c r="A56" s="7">
        <v>43365.0</v>
      </c>
      <c r="B56" s="11">
        <v>107.2277</v>
      </c>
      <c r="C56" s="65">
        <f t="shared" si="3"/>
        <v>0.0002033470173</v>
      </c>
      <c r="D56" s="42">
        <v>10245.25</v>
      </c>
      <c r="E56" s="40">
        <f t="shared" si="4"/>
        <v>-0.005658244003</v>
      </c>
      <c r="F56" s="43">
        <v>7.93</v>
      </c>
      <c r="G56" s="49">
        <f t="shared" si="1"/>
        <v>0.0793</v>
      </c>
      <c r="H56" s="50">
        <f t="shared" si="2"/>
        <v>0.0002090977013</v>
      </c>
      <c r="I56" s="51">
        <f t="shared" si="5"/>
        <v>0.00109406205</v>
      </c>
    </row>
    <row r="57">
      <c r="A57" s="7">
        <v>43366.0</v>
      </c>
      <c r="B57" s="11">
        <v>107.2501</v>
      </c>
      <c r="C57" s="65">
        <f t="shared" si="3"/>
        <v>0.0002089012447</v>
      </c>
      <c r="D57" s="42">
        <v>10146.8</v>
      </c>
      <c r="E57" s="40">
        <f t="shared" si="4"/>
        <v>-0.009609331153</v>
      </c>
      <c r="F57" s="43">
        <v>7.894</v>
      </c>
      <c r="G57" s="49">
        <f t="shared" si="1"/>
        <v>0.07894</v>
      </c>
      <c r="H57" s="50">
        <f t="shared" si="2"/>
        <v>0.0002081835239</v>
      </c>
      <c r="I57" s="51">
        <f t="shared" si="5"/>
        <v>-0.004372010963</v>
      </c>
    </row>
    <row r="58">
      <c r="A58" s="7">
        <v>43367.0</v>
      </c>
      <c r="B58" s="11">
        <v>107.2699</v>
      </c>
      <c r="C58" s="65">
        <f t="shared" si="3"/>
        <v>0.0001846152125</v>
      </c>
      <c r="D58" s="42">
        <v>10224.75</v>
      </c>
      <c r="E58" s="40">
        <f t="shared" si="4"/>
        <v>0.007682224938</v>
      </c>
      <c r="F58" s="43">
        <v>7.872</v>
      </c>
      <c r="G58" s="49">
        <f t="shared" si="1"/>
        <v>0.07872</v>
      </c>
      <c r="H58" s="50">
        <f t="shared" si="2"/>
        <v>0.0002076247101</v>
      </c>
      <c r="I58" s="51">
        <f t="shared" si="5"/>
        <v>-0.002684236205</v>
      </c>
    </row>
    <row r="59">
      <c r="A59" s="7">
        <v>43368.0</v>
      </c>
      <c r="B59" s="11">
        <v>107.2795</v>
      </c>
      <c r="C59" s="65">
        <f t="shared" si="3"/>
        <v>0.00008949388412</v>
      </c>
      <c r="D59" s="42">
        <v>10124.9</v>
      </c>
      <c r="E59" s="40">
        <f t="shared" si="4"/>
        <v>-0.009765519939</v>
      </c>
      <c r="F59" s="43">
        <v>7.867</v>
      </c>
      <c r="G59" s="49">
        <f t="shared" si="1"/>
        <v>0.07867</v>
      </c>
      <c r="H59" s="50">
        <f t="shared" si="2"/>
        <v>0.0002074976911</v>
      </c>
      <c r="I59" s="51">
        <f t="shared" si="5"/>
        <v>-0.0006117719618</v>
      </c>
    </row>
    <row r="60">
      <c r="A60" s="7">
        <v>43369.0</v>
      </c>
      <c r="B60" s="11">
        <v>107.3005</v>
      </c>
      <c r="C60" s="65">
        <f t="shared" si="3"/>
        <v>0.000195750353</v>
      </c>
      <c r="D60" s="42">
        <v>10030.0</v>
      </c>
      <c r="E60" s="40">
        <f t="shared" si="4"/>
        <v>-0.009372932078</v>
      </c>
      <c r="F60" s="43">
        <v>7.877</v>
      </c>
      <c r="G60" s="49">
        <f t="shared" si="1"/>
        <v>0.07877</v>
      </c>
      <c r="H60" s="50">
        <f t="shared" si="2"/>
        <v>0.0002077517232</v>
      </c>
      <c r="I60" s="51">
        <f t="shared" si="5"/>
        <v>0.001224264615</v>
      </c>
    </row>
    <row r="61">
      <c r="A61" s="7">
        <v>43370.0</v>
      </c>
      <c r="B61" s="11">
        <v>107.3301</v>
      </c>
      <c r="C61" s="65">
        <f t="shared" si="3"/>
        <v>0.0002758607835</v>
      </c>
      <c r="D61" s="42">
        <v>10250.85</v>
      </c>
      <c r="E61" s="40">
        <f t="shared" si="4"/>
        <v>0.02201894317</v>
      </c>
      <c r="F61" s="43">
        <v>7.81</v>
      </c>
      <c r="G61" s="49">
        <f t="shared" si="1"/>
        <v>0.0781</v>
      </c>
      <c r="H61" s="50">
        <f t="shared" si="2"/>
        <v>0.0002060492597</v>
      </c>
      <c r="I61" s="51">
        <f t="shared" si="5"/>
        <v>-0.008194702464</v>
      </c>
    </row>
    <row r="62">
      <c r="A62" s="7">
        <v>43371.0</v>
      </c>
      <c r="B62" s="11">
        <v>107.3571</v>
      </c>
      <c r="C62" s="65">
        <f t="shared" si="3"/>
        <v>0.0002515603731</v>
      </c>
      <c r="D62" s="42">
        <v>10198.4</v>
      </c>
      <c r="E62" s="40">
        <f t="shared" si="4"/>
        <v>-0.005116648863</v>
      </c>
      <c r="F62" s="43">
        <v>7.834</v>
      </c>
      <c r="G62" s="49">
        <f t="shared" si="1"/>
        <v>0.07834</v>
      </c>
      <c r="H62" s="50">
        <f t="shared" si="2"/>
        <v>0.0002066592186</v>
      </c>
      <c r="I62" s="51">
        <f t="shared" si="5"/>
        <v>0.002960257885</v>
      </c>
    </row>
    <row r="63">
      <c r="A63" s="7">
        <v>43372.0</v>
      </c>
      <c r="B63" s="11">
        <v>106.8298</v>
      </c>
      <c r="C63" s="65">
        <f t="shared" si="3"/>
        <v>-0.004911645341</v>
      </c>
      <c r="D63" s="42">
        <v>10386.6</v>
      </c>
      <c r="E63" s="40">
        <f t="shared" si="4"/>
        <v>0.01845387512</v>
      </c>
      <c r="F63" s="43">
        <v>7.853</v>
      </c>
      <c r="G63" s="49">
        <f t="shared" si="1"/>
        <v>0.07853</v>
      </c>
      <c r="H63" s="50">
        <f t="shared" si="2"/>
        <v>0.0002071420068</v>
      </c>
      <c r="I63" s="51">
        <f t="shared" si="5"/>
        <v>0.00233615593</v>
      </c>
    </row>
    <row r="64">
      <c r="A64" s="7">
        <v>43373.0</v>
      </c>
      <c r="B64" s="11">
        <v>106.8523</v>
      </c>
      <c r="C64" s="65">
        <f t="shared" si="3"/>
        <v>0.0002106153901</v>
      </c>
      <c r="D64" s="42">
        <v>10380.45</v>
      </c>
      <c r="E64" s="40">
        <f t="shared" si="4"/>
        <v>-0.0005921090636</v>
      </c>
      <c r="F64" s="43">
        <v>7.823</v>
      </c>
      <c r="G64" s="49">
        <f t="shared" si="1"/>
        <v>0.07823</v>
      </c>
      <c r="H64" s="50">
        <f t="shared" si="2"/>
        <v>0.0002063796709</v>
      </c>
      <c r="I64" s="51">
        <f t="shared" si="5"/>
        <v>-0.003680257232</v>
      </c>
    </row>
    <row r="65">
      <c r="A65" s="13">
        <v>43374.0</v>
      </c>
      <c r="B65" s="11">
        <v>106.8741</v>
      </c>
      <c r="C65" s="65">
        <f t="shared" si="3"/>
        <v>0.0002040199415</v>
      </c>
      <c r="D65" s="42">
        <v>10553.0</v>
      </c>
      <c r="E65" s="40">
        <f t="shared" si="4"/>
        <v>0.01662259343</v>
      </c>
      <c r="F65" s="43">
        <v>7.781</v>
      </c>
      <c r="G65" s="49">
        <f t="shared" si="1"/>
        <v>0.07781</v>
      </c>
      <c r="H65" s="50">
        <f t="shared" si="2"/>
        <v>0.0002053120452</v>
      </c>
      <c r="I65" s="51">
        <f t="shared" si="5"/>
        <v>-0.005173114442</v>
      </c>
    </row>
    <row r="66">
      <c r="A66" s="13">
        <v>43375.0</v>
      </c>
      <c r="B66" s="11">
        <v>106.8965</v>
      </c>
      <c r="C66" s="65">
        <f t="shared" si="3"/>
        <v>0.0002095924083</v>
      </c>
      <c r="D66" s="42">
        <v>10524.0</v>
      </c>
      <c r="E66" s="40">
        <f t="shared" si="4"/>
        <v>-0.002748033734</v>
      </c>
      <c r="F66" s="43">
        <v>7.808</v>
      </c>
      <c r="G66" s="49">
        <f t="shared" si="1"/>
        <v>0.07808</v>
      </c>
      <c r="H66" s="50">
        <f t="shared" si="2"/>
        <v>0.0002059984236</v>
      </c>
      <c r="I66" s="51">
        <f t="shared" si="5"/>
        <v>0.003343098525</v>
      </c>
    </row>
    <row r="67">
      <c r="A67" s="13">
        <v>43376.0</v>
      </c>
      <c r="B67" s="11">
        <v>106.9186</v>
      </c>
      <c r="C67" s="65">
        <f t="shared" si="3"/>
        <v>0.0002067420355</v>
      </c>
      <c r="D67" s="42">
        <v>10530.0</v>
      </c>
      <c r="E67" s="40">
        <f t="shared" si="4"/>
        <v>0.0005701254276</v>
      </c>
      <c r="F67" s="43">
        <v>7.796</v>
      </c>
      <c r="G67" s="49">
        <f t="shared" si="1"/>
        <v>0.07796</v>
      </c>
      <c r="H67" s="50">
        <f t="shared" si="2"/>
        <v>0.0002056933877</v>
      </c>
      <c r="I67" s="51">
        <f t="shared" si="5"/>
        <v>-0.001480768119</v>
      </c>
    </row>
    <row r="68">
      <c r="A68" s="13">
        <v>43377.0</v>
      </c>
      <c r="B68" s="11">
        <v>106.9406</v>
      </c>
      <c r="C68" s="65">
        <f t="shared" si="3"/>
        <v>0.0002057640111</v>
      </c>
      <c r="D68" s="42">
        <v>10585.2</v>
      </c>
      <c r="E68" s="40">
        <f t="shared" si="4"/>
        <v>0.005242165242</v>
      </c>
      <c r="F68" s="43">
        <v>7.765</v>
      </c>
      <c r="G68" s="49">
        <f t="shared" si="1"/>
        <v>0.07765</v>
      </c>
      <c r="H68" s="50">
        <f t="shared" si="2"/>
        <v>0.0002049052216</v>
      </c>
      <c r="I68" s="51">
        <f t="shared" si="5"/>
        <v>-0.00383175258</v>
      </c>
    </row>
    <row r="69">
      <c r="A69" s="13">
        <v>43378.0</v>
      </c>
      <c r="B69" s="11">
        <v>106.9635</v>
      </c>
      <c r="C69" s="65">
        <f t="shared" si="3"/>
        <v>0.000214137568</v>
      </c>
      <c r="D69" s="42">
        <v>10482.2</v>
      </c>
      <c r="E69" s="40">
        <f t="shared" si="4"/>
        <v>-0.009730567207</v>
      </c>
      <c r="F69" s="43">
        <v>7.804</v>
      </c>
      <c r="G69" s="49">
        <f t="shared" si="1"/>
        <v>0.07804</v>
      </c>
      <c r="H69" s="50">
        <f t="shared" si="2"/>
        <v>0.0002058967488</v>
      </c>
      <c r="I69" s="51">
        <f t="shared" si="5"/>
        <v>0.004838955248</v>
      </c>
    </row>
    <row r="70">
      <c r="A70" s="13">
        <v>43379.0</v>
      </c>
      <c r="B70" s="11">
        <v>106.9865</v>
      </c>
      <c r="C70" s="65">
        <f t="shared" si="3"/>
        <v>0.0002150266212</v>
      </c>
      <c r="D70" s="42">
        <v>10582.5</v>
      </c>
      <c r="E70" s="40">
        <f t="shared" si="4"/>
        <v>0.009568602011</v>
      </c>
      <c r="F70" s="43">
        <v>7.762</v>
      </c>
      <c r="G70" s="49">
        <f t="shared" si="1"/>
        <v>0.07762</v>
      </c>
      <c r="H70" s="50">
        <f t="shared" si="2"/>
        <v>0.0002048289354</v>
      </c>
      <c r="I70" s="51">
        <f t="shared" si="5"/>
        <v>-0.005186159316</v>
      </c>
    </row>
    <row r="71">
      <c r="A71" s="13">
        <v>43380.0</v>
      </c>
      <c r="B71" s="11">
        <v>107.0095</v>
      </c>
      <c r="C71" s="65">
        <f t="shared" si="3"/>
        <v>0.0002149803947</v>
      </c>
      <c r="D71" s="42">
        <v>10576.3</v>
      </c>
      <c r="E71" s="40">
        <f t="shared" si="4"/>
        <v>-0.0005858729034</v>
      </c>
      <c r="F71" s="43">
        <v>7.733</v>
      </c>
      <c r="G71" s="49">
        <f t="shared" si="1"/>
        <v>0.07733</v>
      </c>
      <c r="H71" s="50">
        <f t="shared" si="2"/>
        <v>0.0002040913935</v>
      </c>
      <c r="I71" s="51">
        <f t="shared" si="5"/>
        <v>-0.003600770259</v>
      </c>
    </row>
    <row r="72">
      <c r="A72" s="13">
        <v>43381.0</v>
      </c>
      <c r="B72" s="11">
        <v>107.0317</v>
      </c>
      <c r="C72" s="65">
        <f t="shared" si="3"/>
        <v>0.0002074582163</v>
      </c>
      <c r="D72" s="42">
        <v>10616.7</v>
      </c>
      <c r="E72" s="40">
        <f t="shared" si="4"/>
        <v>0.003819861388</v>
      </c>
      <c r="F72" s="43">
        <v>7.756</v>
      </c>
      <c r="G72" s="49">
        <f t="shared" si="1"/>
        <v>0.07756</v>
      </c>
      <c r="H72" s="50">
        <f t="shared" si="2"/>
        <v>0.0002046763568</v>
      </c>
      <c r="I72" s="51">
        <f t="shared" si="5"/>
        <v>0.002866183068</v>
      </c>
    </row>
    <row r="73">
      <c r="A73" s="13">
        <v>43382.0</v>
      </c>
      <c r="B73" s="11">
        <v>107.054</v>
      </c>
      <c r="C73" s="65">
        <f t="shared" si="3"/>
        <v>0.000208349489</v>
      </c>
      <c r="D73" s="42">
        <v>10682.2</v>
      </c>
      <c r="E73" s="40">
        <f t="shared" si="4"/>
        <v>0.00616952537</v>
      </c>
      <c r="F73" s="43">
        <v>7.815</v>
      </c>
      <c r="G73" s="49">
        <f t="shared" si="1"/>
        <v>0.07815</v>
      </c>
      <c r="H73" s="50">
        <f t="shared" si="2"/>
        <v>0.0002061763456</v>
      </c>
      <c r="I73" s="51">
        <f t="shared" si="5"/>
        <v>0.007328588651</v>
      </c>
    </row>
    <row r="74">
      <c r="A74" s="7">
        <v>43383.0</v>
      </c>
      <c r="B74" s="11">
        <v>107.0762</v>
      </c>
      <c r="C74" s="65">
        <f t="shared" si="3"/>
        <v>0.0002073719805</v>
      </c>
      <c r="D74" s="42">
        <v>10763.4</v>
      </c>
      <c r="E74" s="40">
        <f t="shared" si="4"/>
        <v>0.007601430417</v>
      </c>
      <c r="F74" s="43">
        <v>7.791</v>
      </c>
      <c r="G74" s="49">
        <f t="shared" si="1"/>
        <v>0.07791</v>
      </c>
      <c r="H74" s="50">
        <f t="shared" si="2"/>
        <v>0.0002055662794</v>
      </c>
      <c r="I74" s="51">
        <f t="shared" si="5"/>
        <v>-0.002958953186</v>
      </c>
    </row>
    <row r="75">
      <c r="A75" s="7">
        <v>43384.0</v>
      </c>
      <c r="B75" s="11">
        <v>107.0981</v>
      </c>
      <c r="C75" s="65">
        <f t="shared" si="3"/>
        <v>0.0002045272432</v>
      </c>
      <c r="D75" s="42">
        <v>10656.2</v>
      </c>
      <c r="E75" s="40">
        <f t="shared" si="4"/>
        <v>-0.009959678169</v>
      </c>
      <c r="F75" s="43">
        <v>7.792</v>
      </c>
      <c r="G75" s="49">
        <f t="shared" si="1"/>
        <v>0.07792</v>
      </c>
      <c r="H75" s="50">
        <f t="shared" si="2"/>
        <v>0.0002055917016</v>
      </c>
      <c r="I75" s="51">
        <f t="shared" si="5"/>
        <v>0.0001236687631</v>
      </c>
    </row>
    <row r="76">
      <c r="A76" s="7">
        <v>43385.0</v>
      </c>
      <c r="B76" s="11">
        <v>107.1189</v>
      </c>
      <c r="C76" s="65">
        <f t="shared" si="3"/>
        <v>0.0001942144632</v>
      </c>
      <c r="D76" s="42">
        <v>10526.75</v>
      </c>
      <c r="E76" s="40">
        <f t="shared" si="4"/>
        <v>-0.01214785759</v>
      </c>
      <c r="F76" s="43">
        <v>7.71</v>
      </c>
      <c r="G76" s="49">
        <f t="shared" si="1"/>
        <v>0.0771</v>
      </c>
      <c r="H76" s="50">
        <f t="shared" si="2"/>
        <v>0.0002035063056</v>
      </c>
      <c r="I76" s="51">
        <f t="shared" si="5"/>
        <v>-0.0101433858</v>
      </c>
    </row>
    <row r="77">
      <c r="A77" s="7">
        <v>43386.0</v>
      </c>
      <c r="B77" s="11">
        <v>107.142</v>
      </c>
      <c r="C77" s="65">
        <f t="shared" si="3"/>
        <v>0.0002156482189</v>
      </c>
      <c r="D77" s="42">
        <v>10628.6</v>
      </c>
      <c r="E77" s="40">
        <f t="shared" si="4"/>
        <v>0.009675350892</v>
      </c>
      <c r="F77" s="43">
        <v>7.726</v>
      </c>
      <c r="G77" s="49">
        <f t="shared" si="1"/>
        <v>0.07726</v>
      </c>
      <c r="H77" s="50">
        <f t="shared" si="2"/>
        <v>0.0002039133364</v>
      </c>
      <c r="I77" s="51">
        <f t="shared" si="5"/>
        <v>0.002000089492</v>
      </c>
    </row>
    <row r="78">
      <c r="A78" s="7">
        <v>43387.0</v>
      </c>
      <c r="B78" s="11">
        <v>107.165</v>
      </c>
      <c r="C78" s="65">
        <f t="shared" si="3"/>
        <v>0.000214668384</v>
      </c>
      <c r="D78" s="42">
        <v>10685.6</v>
      </c>
      <c r="E78" s="40">
        <f t="shared" si="4"/>
        <v>0.005362888809</v>
      </c>
      <c r="F78" s="43">
        <v>7.734</v>
      </c>
      <c r="G78" s="49">
        <f t="shared" si="1"/>
        <v>0.07734</v>
      </c>
      <c r="H78" s="50">
        <f t="shared" si="2"/>
        <v>0.0002041168293</v>
      </c>
      <c r="I78" s="51">
        <f t="shared" si="5"/>
        <v>0.0009979376911</v>
      </c>
    </row>
    <row r="79">
      <c r="A79" s="7">
        <v>43388.0</v>
      </c>
      <c r="B79" s="11">
        <v>107.187</v>
      </c>
      <c r="C79" s="65">
        <f t="shared" si="3"/>
        <v>0.0002052909065</v>
      </c>
      <c r="D79" s="42">
        <v>10728.85</v>
      </c>
      <c r="E79" s="40">
        <f t="shared" si="4"/>
        <v>0.004047503182</v>
      </c>
      <c r="F79" s="43">
        <v>7.644</v>
      </c>
      <c r="G79" s="49">
        <f t="shared" si="1"/>
        <v>0.07644</v>
      </c>
      <c r="H79" s="50">
        <f t="shared" si="2"/>
        <v>0.0002018266659</v>
      </c>
      <c r="I79" s="51">
        <f t="shared" si="5"/>
        <v>-0.01121986557</v>
      </c>
    </row>
    <row r="80">
      <c r="A80" s="7">
        <v>43389.0</v>
      </c>
      <c r="B80" s="11">
        <v>107.209</v>
      </c>
      <c r="C80" s="65">
        <f t="shared" si="3"/>
        <v>0.0002052487708</v>
      </c>
      <c r="D80" s="42">
        <v>10858.7</v>
      </c>
      <c r="E80" s="40">
        <f t="shared" si="4"/>
        <v>0.01210288148</v>
      </c>
      <c r="F80" s="43">
        <v>7.608</v>
      </c>
      <c r="G80" s="49">
        <f t="shared" si="1"/>
        <v>0.07608</v>
      </c>
      <c r="H80" s="50">
        <f t="shared" si="2"/>
        <v>0.0002009100658</v>
      </c>
      <c r="I80" s="51">
        <f t="shared" si="5"/>
        <v>-0.004541521131</v>
      </c>
    </row>
    <row r="81">
      <c r="A81" s="7">
        <v>43390.0</v>
      </c>
      <c r="B81" s="11">
        <v>107.2308</v>
      </c>
      <c r="C81" s="65">
        <f t="shared" si="3"/>
        <v>0.0002033411374</v>
      </c>
      <c r="D81" s="42">
        <v>10876.75</v>
      </c>
      <c r="E81" s="40">
        <f t="shared" si="4"/>
        <v>0.001662261597</v>
      </c>
      <c r="F81" s="43">
        <v>7.607</v>
      </c>
      <c r="G81" s="49">
        <f t="shared" si="1"/>
        <v>0.07607</v>
      </c>
      <c r="H81" s="50">
        <f t="shared" si="2"/>
        <v>0.0002008846003</v>
      </c>
      <c r="I81" s="51">
        <f t="shared" si="5"/>
        <v>-0.0001267506327</v>
      </c>
    </row>
    <row r="82">
      <c r="A82" s="7">
        <v>43391.0</v>
      </c>
      <c r="B82" s="11">
        <v>107.2524</v>
      </c>
      <c r="C82" s="65">
        <f t="shared" si="3"/>
        <v>0.0002014346624</v>
      </c>
      <c r="D82" s="42">
        <v>10883.75</v>
      </c>
      <c r="E82" s="40">
        <f t="shared" si="4"/>
        <v>0.0006435745972</v>
      </c>
      <c r="F82" s="43">
        <v>7.626</v>
      </c>
      <c r="G82" s="49">
        <f t="shared" si="1"/>
        <v>0.07626</v>
      </c>
      <c r="H82" s="50">
        <f t="shared" si="2"/>
        <v>0.0002013684041</v>
      </c>
      <c r="I82" s="51">
        <f t="shared" si="5"/>
        <v>0.002408366448</v>
      </c>
    </row>
    <row r="83">
      <c r="A83" s="7">
        <v>43392.0</v>
      </c>
      <c r="B83" s="11">
        <v>107.2744</v>
      </c>
      <c r="C83" s="65">
        <f t="shared" si="3"/>
        <v>0.0002051236149</v>
      </c>
      <c r="D83" s="42">
        <v>10869.5</v>
      </c>
      <c r="E83" s="40">
        <f t="shared" si="4"/>
        <v>-0.001309291375</v>
      </c>
      <c r="F83" s="43">
        <v>7.574</v>
      </c>
      <c r="G83" s="49">
        <f t="shared" si="1"/>
        <v>0.07574</v>
      </c>
      <c r="H83" s="50">
        <f t="shared" si="2"/>
        <v>0.0002000441071</v>
      </c>
      <c r="I83" s="51">
        <f t="shared" si="5"/>
        <v>-0.006576488198</v>
      </c>
    </row>
    <row r="84">
      <c r="A84" s="7">
        <v>43393.0</v>
      </c>
      <c r="B84" s="11">
        <v>107.2964</v>
      </c>
      <c r="C84" s="65">
        <f t="shared" si="3"/>
        <v>0.0002050815479</v>
      </c>
      <c r="D84" s="42">
        <v>10782.9</v>
      </c>
      <c r="E84" s="40">
        <f t="shared" si="4"/>
        <v>-0.007967247803</v>
      </c>
      <c r="F84" s="43">
        <v>7.44</v>
      </c>
      <c r="G84" s="49">
        <f t="shared" si="1"/>
        <v>0.0744</v>
      </c>
      <c r="H84" s="50">
        <f t="shared" si="2"/>
        <v>0.0001966285514</v>
      </c>
      <c r="I84" s="51">
        <f t="shared" si="5"/>
        <v>-0.01707401319</v>
      </c>
    </row>
    <row r="85">
      <c r="A85" s="7">
        <v>43394.0</v>
      </c>
      <c r="B85" s="11">
        <v>107.3185</v>
      </c>
      <c r="C85" s="65">
        <f t="shared" si="3"/>
        <v>0.0002059714958</v>
      </c>
      <c r="D85" s="42">
        <v>10601.15</v>
      </c>
      <c r="E85" s="40">
        <f t="shared" si="4"/>
        <v>-0.01685539141</v>
      </c>
      <c r="F85" s="43">
        <v>7.423</v>
      </c>
      <c r="G85" s="49">
        <f t="shared" si="1"/>
        <v>0.07423</v>
      </c>
      <c r="H85" s="50">
        <f t="shared" si="2"/>
        <v>0.000196194931</v>
      </c>
      <c r="I85" s="51">
        <f t="shared" si="5"/>
        <v>-0.002205276912</v>
      </c>
    </row>
    <row r="86">
      <c r="A86" s="7">
        <v>43395.0</v>
      </c>
      <c r="B86" s="11">
        <v>107.3405</v>
      </c>
      <c r="C86" s="65">
        <f t="shared" si="3"/>
        <v>0.0002049972745</v>
      </c>
      <c r="D86" s="42">
        <v>10693.7</v>
      </c>
      <c r="E86" s="40">
        <f t="shared" si="4"/>
        <v>0.008730184933</v>
      </c>
      <c r="F86" s="43">
        <v>7.464</v>
      </c>
      <c r="G86" s="49">
        <f t="shared" si="1"/>
        <v>0.07464</v>
      </c>
      <c r="H86" s="50">
        <f t="shared" si="2"/>
        <v>0.0001972406049</v>
      </c>
      <c r="I86" s="51">
        <f t="shared" si="5"/>
        <v>0.005329770307</v>
      </c>
    </row>
    <row r="87">
      <c r="A87" s="7">
        <v>43396.0</v>
      </c>
      <c r="B87" s="11">
        <v>107.3626</v>
      </c>
      <c r="C87" s="65">
        <f t="shared" si="3"/>
        <v>0.000205886874</v>
      </c>
      <c r="D87" s="42">
        <v>10488.45</v>
      </c>
      <c r="E87" s="40">
        <f t="shared" si="4"/>
        <v>-0.01919354386</v>
      </c>
      <c r="F87" s="43">
        <v>7.587</v>
      </c>
      <c r="G87" s="49">
        <f t="shared" si="1"/>
        <v>0.07587</v>
      </c>
      <c r="H87" s="50">
        <f t="shared" si="2"/>
        <v>0.0002003752412</v>
      </c>
      <c r="I87" s="51">
        <f t="shared" si="5"/>
        <v>0.01589244915</v>
      </c>
    </row>
    <row r="88">
      <c r="A88" s="7">
        <v>43397.0</v>
      </c>
      <c r="B88" s="11">
        <v>107.3843</v>
      </c>
      <c r="C88" s="65">
        <f t="shared" si="3"/>
        <v>0.0002021188011</v>
      </c>
      <c r="D88" s="42">
        <v>10549.15</v>
      </c>
      <c r="E88" s="40">
        <f t="shared" si="4"/>
        <v>0.005787318431</v>
      </c>
      <c r="F88" s="43">
        <v>7.528</v>
      </c>
      <c r="G88" s="49">
        <f t="shared" si="1"/>
        <v>0.07528</v>
      </c>
      <c r="H88" s="50">
        <f t="shared" si="2"/>
        <v>0.0001988720814</v>
      </c>
      <c r="I88" s="51">
        <f t="shared" si="5"/>
        <v>-0.0075017241</v>
      </c>
    </row>
    <row r="89">
      <c r="A89" s="7">
        <v>43398.0</v>
      </c>
      <c r="B89" s="11">
        <v>107.4064</v>
      </c>
      <c r="C89" s="65">
        <f t="shared" si="3"/>
        <v>0.0002058028967</v>
      </c>
      <c r="D89" s="42">
        <v>10737.6</v>
      </c>
      <c r="E89" s="40">
        <f t="shared" si="4"/>
        <v>0.01786399852</v>
      </c>
      <c r="F89" s="43">
        <v>7.411</v>
      </c>
      <c r="G89" s="49">
        <f t="shared" si="1"/>
        <v>0.07411</v>
      </c>
      <c r="H89" s="50">
        <f t="shared" si="2"/>
        <v>0.0001958888048</v>
      </c>
      <c r="I89" s="51">
        <f t="shared" si="5"/>
        <v>-0.01500098254</v>
      </c>
    </row>
    <row r="90">
      <c r="A90" s="7">
        <v>43399.0</v>
      </c>
      <c r="B90" s="11">
        <v>107.4265</v>
      </c>
      <c r="C90" s="65">
        <f t="shared" si="3"/>
        <v>0.0001871396863</v>
      </c>
      <c r="D90" s="42">
        <v>10791.55</v>
      </c>
      <c r="E90" s="40">
        <f t="shared" si="4"/>
        <v>0.005024400238</v>
      </c>
      <c r="F90" s="43">
        <v>7.408</v>
      </c>
      <c r="G90" s="49">
        <f t="shared" si="1"/>
        <v>0.07408</v>
      </c>
      <c r="H90" s="50">
        <f t="shared" si="2"/>
        <v>0.0001958122679</v>
      </c>
      <c r="I90" s="51">
        <f t="shared" si="5"/>
        <v>-0.0003907159383</v>
      </c>
    </row>
    <row r="91">
      <c r="A91" s="7">
        <v>43400.0</v>
      </c>
      <c r="B91" s="11">
        <v>106.8998</v>
      </c>
      <c r="C91" s="65">
        <f t="shared" si="3"/>
        <v>-0.00490288709</v>
      </c>
      <c r="D91" s="42">
        <v>10805.45</v>
      </c>
      <c r="E91" s="40">
        <f t="shared" si="4"/>
        <v>0.001288044813</v>
      </c>
      <c r="F91" s="43">
        <v>7.441</v>
      </c>
      <c r="G91" s="49">
        <f t="shared" si="1"/>
        <v>0.07441</v>
      </c>
      <c r="H91" s="50">
        <f t="shared" si="2"/>
        <v>0.0001966540564</v>
      </c>
      <c r="I91" s="51">
        <f t="shared" si="5"/>
        <v>0.004298956544</v>
      </c>
    </row>
    <row r="92">
      <c r="A92" s="7">
        <v>43401.0</v>
      </c>
      <c r="B92" s="11">
        <v>106.923</v>
      </c>
      <c r="C92" s="65">
        <f t="shared" si="3"/>
        <v>0.0002170256633</v>
      </c>
      <c r="D92" s="42">
        <v>10888.35</v>
      </c>
      <c r="E92" s="40">
        <f t="shared" si="4"/>
        <v>0.00767205438</v>
      </c>
      <c r="F92" s="43">
        <v>7.461</v>
      </c>
      <c r="G92" s="49">
        <f t="shared" si="1"/>
        <v>0.07461</v>
      </c>
      <c r="H92" s="50">
        <f t="shared" si="2"/>
        <v>0.0001971641057</v>
      </c>
      <c r="I92" s="51">
        <f t="shared" si="5"/>
        <v>0.002593637459</v>
      </c>
    </row>
    <row r="93">
      <c r="A93" s="7">
        <v>43402.0</v>
      </c>
      <c r="B93" s="11">
        <v>106.9449</v>
      </c>
      <c r="C93" s="65">
        <f t="shared" si="3"/>
        <v>0.0002048202912</v>
      </c>
      <c r="D93" s="42">
        <v>10908.7</v>
      </c>
      <c r="E93" s="40">
        <f t="shared" si="4"/>
        <v>0.001868970046</v>
      </c>
      <c r="F93" s="43">
        <v>7.345</v>
      </c>
      <c r="G93" s="49">
        <f t="shared" si="1"/>
        <v>0.07345</v>
      </c>
      <c r="H93" s="50">
        <f t="shared" si="2"/>
        <v>0.0001942045008</v>
      </c>
      <c r="I93" s="51">
        <f t="shared" si="5"/>
        <v>-0.01501087048</v>
      </c>
    </row>
    <row r="94">
      <c r="A94" s="7">
        <v>43403.0</v>
      </c>
      <c r="B94" s="11">
        <v>106.9671</v>
      </c>
      <c r="C94" s="65">
        <f t="shared" si="3"/>
        <v>0.0002075835313</v>
      </c>
      <c r="D94" s="42">
        <v>10967.3</v>
      </c>
      <c r="E94" s="40">
        <f t="shared" si="4"/>
        <v>0.005371859158</v>
      </c>
      <c r="F94" s="43">
        <v>7.219</v>
      </c>
      <c r="G94" s="49">
        <f t="shared" si="1"/>
        <v>0.07219</v>
      </c>
      <c r="H94" s="50">
        <f t="shared" si="2"/>
        <v>0.0001909861417</v>
      </c>
      <c r="I94" s="51">
        <f t="shared" si="5"/>
        <v>-0.01657201103</v>
      </c>
    </row>
    <row r="95">
      <c r="A95" s="7">
        <v>43404.0</v>
      </c>
      <c r="B95" s="11">
        <v>106.9894</v>
      </c>
      <c r="C95" s="65">
        <f t="shared" si="3"/>
        <v>0.0002084753162</v>
      </c>
      <c r="D95" s="42">
        <v>10951.7</v>
      </c>
      <c r="E95" s="40">
        <f t="shared" si="4"/>
        <v>-0.001422410256</v>
      </c>
      <c r="F95" s="43">
        <v>7.272</v>
      </c>
      <c r="G95" s="49">
        <f t="shared" si="1"/>
        <v>0.07272</v>
      </c>
      <c r="H95" s="50">
        <f t="shared" si="2"/>
        <v>0.0001923403553</v>
      </c>
      <c r="I95" s="51">
        <f t="shared" si="5"/>
        <v>0.007090637951</v>
      </c>
    </row>
    <row r="96">
      <c r="A96" s="13">
        <v>43405.0</v>
      </c>
      <c r="B96" s="11">
        <v>107.0126</v>
      </c>
      <c r="C96" s="65">
        <f t="shared" si="3"/>
        <v>0.0002168439116</v>
      </c>
      <c r="D96" s="42">
        <v>10754.0</v>
      </c>
      <c r="E96" s="40">
        <f t="shared" si="4"/>
        <v>-0.01805199193</v>
      </c>
      <c r="F96" s="43">
        <v>7.276</v>
      </c>
      <c r="G96" s="49">
        <f t="shared" si="1"/>
        <v>0.07276</v>
      </c>
      <c r="H96" s="50">
        <f t="shared" si="2"/>
        <v>0.000192442533</v>
      </c>
      <c r="I96" s="51">
        <f t="shared" si="5"/>
        <v>0.0005312339052</v>
      </c>
    </row>
    <row r="97">
      <c r="A97" s="13">
        <v>43406.0</v>
      </c>
      <c r="B97" s="11">
        <v>107.0334</v>
      </c>
      <c r="C97" s="65">
        <f t="shared" si="3"/>
        <v>0.000194369635</v>
      </c>
      <c r="D97" s="42">
        <v>10663.5</v>
      </c>
      <c r="E97" s="40">
        <f t="shared" si="4"/>
        <v>-0.008415473312</v>
      </c>
      <c r="F97" s="43">
        <v>7.287</v>
      </c>
      <c r="G97" s="49">
        <f t="shared" si="1"/>
        <v>0.07287</v>
      </c>
      <c r="H97" s="50">
        <f t="shared" si="2"/>
        <v>0.0001927235021</v>
      </c>
      <c r="I97" s="51">
        <f t="shared" si="5"/>
        <v>0.001460015777</v>
      </c>
    </row>
    <row r="98">
      <c r="A98" s="13">
        <v>43407.0</v>
      </c>
      <c r="B98" s="11">
        <v>107.0561</v>
      </c>
      <c r="C98" s="65">
        <f t="shared" si="3"/>
        <v>0.000212083331</v>
      </c>
      <c r="D98" s="42">
        <v>10729.85</v>
      </c>
      <c r="E98" s="40">
        <f t="shared" si="4"/>
        <v>0.006222159704</v>
      </c>
      <c r="F98" s="43">
        <v>7.263</v>
      </c>
      <c r="G98" s="49">
        <f t="shared" si="1"/>
        <v>0.07263</v>
      </c>
      <c r="H98" s="50">
        <f t="shared" si="2"/>
        <v>0.0001921104415</v>
      </c>
      <c r="I98" s="51">
        <f t="shared" si="5"/>
        <v>-0.003181037102</v>
      </c>
    </row>
    <row r="99">
      <c r="A99" s="13">
        <v>43408.0</v>
      </c>
      <c r="B99" s="11">
        <v>107.0788</v>
      </c>
      <c r="C99" s="65">
        <f t="shared" si="3"/>
        <v>0.0002120383612</v>
      </c>
      <c r="D99" s="42">
        <v>10779.8</v>
      </c>
      <c r="E99" s="40">
        <f t="shared" si="4"/>
        <v>0.004655237492</v>
      </c>
      <c r="F99" s="43">
        <v>7.277</v>
      </c>
      <c r="G99" s="49">
        <f t="shared" si="1"/>
        <v>0.07277</v>
      </c>
      <c r="H99" s="50">
        <f t="shared" si="2"/>
        <v>0.0001924680768</v>
      </c>
      <c r="I99" s="51">
        <f t="shared" si="5"/>
        <v>0.001861613087</v>
      </c>
    </row>
    <row r="100">
      <c r="A100" s="13">
        <v>43409.0</v>
      </c>
      <c r="B100" s="11">
        <v>107.1028</v>
      </c>
      <c r="C100" s="65">
        <f t="shared" si="3"/>
        <v>0.0002241340022</v>
      </c>
      <c r="D100" s="42">
        <v>10859.9</v>
      </c>
      <c r="E100" s="40">
        <f t="shared" si="4"/>
        <v>0.007430564574</v>
      </c>
      <c r="F100" s="43">
        <v>7.391</v>
      </c>
      <c r="G100" s="49">
        <f t="shared" si="1"/>
        <v>0.07391</v>
      </c>
      <c r="H100" s="50">
        <f t="shared" si="2"/>
        <v>0.0001953785187</v>
      </c>
      <c r="I100" s="51">
        <f t="shared" si="5"/>
        <v>0.01512168608</v>
      </c>
    </row>
    <row r="101">
      <c r="A101" s="13">
        <v>43410.0</v>
      </c>
      <c r="B101" s="11">
        <v>107.1233</v>
      </c>
      <c r="C101" s="65">
        <f t="shared" si="3"/>
        <v>0.0001914048932</v>
      </c>
      <c r="D101" s="42">
        <v>10862.55</v>
      </c>
      <c r="E101" s="40">
        <f t="shared" si="4"/>
        <v>0.0002440169799</v>
      </c>
      <c r="F101" s="43">
        <v>7.37</v>
      </c>
      <c r="G101" s="49">
        <f t="shared" si="1"/>
        <v>0.0737</v>
      </c>
      <c r="H101" s="50">
        <f t="shared" si="2"/>
        <v>0.0001948426162</v>
      </c>
      <c r="I101" s="51">
        <f t="shared" si="5"/>
        <v>-0.002742893368</v>
      </c>
    </row>
    <row r="102">
      <c r="A102" s="13">
        <v>43411.0</v>
      </c>
      <c r="B102" s="11">
        <v>107.1454</v>
      </c>
      <c r="C102" s="65">
        <f t="shared" si="3"/>
        <v>0.0002063043241</v>
      </c>
      <c r="D102" s="42">
        <v>10910.1</v>
      </c>
      <c r="E102" s="40">
        <f t="shared" si="4"/>
        <v>0.00437742519</v>
      </c>
      <c r="F102" s="43">
        <v>7.418</v>
      </c>
      <c r="G102" s="49">
        <f t="shared" si="1"/>
        <v>0.07418</v>
      </c>
      <c r="H102" s="50">
        <f t="shared" si="2"/>
        <v>0.0001960673826</v>
      </c>
      <c r="I102" s="51">
        <f t="shared" si="5"/>
        <v>0.006285926319</v>
      </c>
    </row>
    <row r="103">
      <c r="A103" s="13">
        <v>43412.0</v>
      </c>
      <c r="B103" s="11">
        <v>107.1675</v>
      </c>
      <c r="C103" s="65">
        <f t="shared" si="3"/>
        <v>0.0002062617714</v>
      </c>
      <c r="D103" s="42">
        <v>10792.5</v>
      </c>
      <c r="E103" s="40">
        <f t="shared" si="4"/>
        <v>-0.01077900294</v>
      </c>
      <c r="F103" s="43">
        <v>7.354</v>
      </c>
      <c r="G103" s="49">
        <f t="shared" si="1"/>
        <v>0.07354</v>
      </c>
      <c r="H103" s="50">
        <f t="shared" si="2"/>
        <v>0.0001944342394</v>
      </c>
      <c r="I103" s="51">
        <f t="shared" si="5"/>
        <v>-0.008329499253</v>
      </c>
    </row>
    <row r="104">
      <c r="A104" s="13">
        <v>43413.0</v>
      </c>
      <c r="B104" s="11">
        <v>107.1896</v>
      </c>
      <c r="C104" s="65">
        <f t="shared" si="3"/>
        <v>0.0002062192362</v>
      </c>
      <c r="D104" s="42">
        <v>10672.25</v>
      </c>
      <c r="E104" s="40">
        <f t="shared" si="4"/>
        <v>-0.01114199676</v>
      </c>
      <c r="F104" s="43">
        <v>7.427</v>
      </c>
      <c r="G104" s="49">
        <f t="shared" si="1"/>
        <v>0.07427</v>
      </c>
      <c r="H104" s="50">
        <f t="shared" si="2"/>
        <v>0.0001962969655</v>
      </c>
      <c r="I104" s="51">
        <f t="shared" si="5"/>
        <v>0.009580236719</v>
      </c>
    </row>
    <row r="105">
      <c r="A105" s="7">
        <v>43414.0</v>
      </c>
      <c r="B105" s="11">
        <v>107.2112</v>
      </c>
      <c r="C105" s="65">
        <f t="shared" si="3"/>
        <v>0.000201512087</v>
      </c>
      <c r="D105" s="42">
        <v>10727.35</v>
      </c>
      <c r="E105" s="40">
        <f t="shared" si="4"/>
        <v>0.005162922533</v>
      </c>
      <c r="F105" s="43">
        <v>7.448</v>
      </c>
      <c r="G105" s="49">
        <f t="shared" si="1"/>
        <v>0.07448</v>
      </c>
      <c r="H105" s="50">
        <f t="shared" si="2"/>
        <v>0.0001968325844</v>
      </c>
      <c r="I105" s="51">
        <f t="shared" si="5"/>
        <v>0.002728615303</v>
      </c>
    </row>
    <row r="106">
      <c r="A106" s="7">
        <v>43415.0</v>
      </c>
      <c r="B106" s="11">
        <v>107.2329</v>
      </c>
      <c r="C106" s="65">
        <f t="shared" si="3"/>
        <v>0.0002024042264</v>
      </c>
      <c r="D106" s="42">
        <v>10771.8</v>
      </c>
      <c r="E106" s="40">
        <f t="shared" si="4"/>
        <v>0.00414361422</v>
      </c>
      <c r="F106" s="43">
        <v>7.508</v>
      </c>
      <c r="G106" s="49">
        <f t="shared" si="1"/>
        <v>0.07508</v>
      </c>
      <c r="H106" s="50">
        <f t="shared" si="2"/>
        <v>0.0001983623491</v>
      </c>
      <c r="I106" s="51">
        <f t="shared" si="5"/>
        <v>0.007771907681</v>
      </c>
    </row>
    <row r="107">
      <c r="A107" s="7">
        <v>43416.0</v>
      </c>
      <c r="B107" s="11">
        <v>107.2562</v>
      </c>
      <c r="C107" s="65">
        <f t="shared" si="3"/>
        <v>0.0002172840611</v>
      </c>
      <c r="D107" s="42">
        <v>10802.15</v>
      </c>
      <c r="E107" s="40">
        <f t="shared" si="4"/>
        <v>0.002817542101</v>
      </c>
      <c r="F107" s="43">
        <v>7.454</v>
      </c>
      <c r="G107" s="49">
        <f t="shared" si="1"/>
        <v>0.07454</v>
      </c>
      <c r="H107" s="50">
        <f t="shared" si="2"/>
        <v>0.0001969855992</v>
      </c>
      <c r="I107" s="51">
        <f t="shared" si="5"/>
        <v>-0.006940580626</v>
      </c>
    </row>
    <row r="108">
      <c r="A108" s="7">
        <v>43417.0</v>
      </c>
      <c r="B108" s="11">
        <v>107.2788</v>
      </c>
      <c r="C108" s="65">
        <f t="shared" si="3"/>
        <v>0.0002107104298</v>
      </c>
      <c r="D108" s="42">
        <v>10855.15</v>
      </c>
      <c r="E108" s="40">
        <f t="shared" si="4"/>
        <v>0.004906430664</v>
      </c>
      <c r="F108" s="43">
        <v>7.47</v>
      </c>
      <c r="G108" s="49">
        <f t="shared" si="1"/>
        <v>0.0747</v>
      </c>
      <c r="H108" s="50">
        <f t="shared" si="2"/>
        <v>0.000197393597</v>
      </c>
      <c r="I108" s="51">
        <f t="shared" si="5"/>
        <v>0.002071206269</v>
      </c>
    </row>
    <row r="109">
      <c r="A109" s="7">
        <v>43418.0</v>
      </c>
      <c r="B109" s="11">
        <v>107.3018</v>
      </c>
      <c r="C109" s="65">
        <f t="shared" si="3"/>
        <v>0.0002143946427</v>
      </c>
      <c r="D109" s="42">
        <v>10821.6</v>
      </c>
      <c r="E109" s="40">
        <f t="shared" si="4"/>
        <v>-0.003090698885</v>
      </c>
      <c r="F109" s="43">
        <v>7.476</v>
      </c>
      <c r="G109" s="49">
        <f t="shared" si="1"/>
        <v>0.07476</v>
      </c>
      <c r="H109" s="50">
        <f t="shared" si="2"/>
        <v>0.0001975465806</v>
      </c>
      <c r="I109" s="51">
        <f t="shared" si="5"/>
        <v>0.0007750178489</v>
      </c>
    </row>
    <row r="110">
      <c r="A110" s="7">
        <v>43419.0</v>
      </c>
      <c r="B110" s="11">
        <v>107.3263</v>
      </c>
      <c r="C110" s="65">
        <f t="shared" si="3"/>
        <v>0.0002283279498</v>
      </c>
      <c r="D110" s="42">
        <v>10794.95</v>
      </c>
      <c r="E110" s="40">
        <f t="shared" si="4"/>
        <v>-0.002462667258</v>
      </c>
      <c r="F110" s="43">
        <v>7.503</v>
      </c>
      <c r="G110" s="49">
        <f t="shared" si="1"/>
        <v>0.07503</v>
      </c>
      <c r="H110" s="50">
        <f t="shared" si="2"/>
        <v>0.0001982349012</v>
      </c>
      <c r="I110" s="51">
        <f t="shared" si="5"/>
        <v>0.003484346021</v>
      </c>
    </row>
    <row r="111">
      <c r="A111" s="7">
        <v>43420.0</v>
      </c>
      <c r="B111" s="11">
        <v>107.3475</v>
      </c>
      <c r="C111" s="65">
        <f t="shared" si="3"/>
        <v>0.0001975284716</v>
      </c>
      <c r="D111" s="42">
        <v>10737.6</v>
      </c>
      <c r="E111" s="40">
        <f t="shared" si="4"/>
        <v>-0.00531266935</v>
      </c>
      <c r="F111" s="43">
        <v>7.431</v>
      </c>
      <c r="G111" s="49">
        <f t="shared" si="1"/>
        <v>0.07431</v>
      </c>
      <c r="H111" s="50">
        <f t="shared" si="2"/>
        <v>0.0001963989962</v>
      </c>
      <c r="I111" s="51">
        <f t="shared" si="5"/>
        <v>-0.009261260267</v>
      </c>
    </row>
    <row r="112">
      <c r="A112" s="7">
        <v>43421.0</v>
      </c>
      <c r="B112" s="11">
        <v>107.3704</v>
      </c>
      <c r="C112" s="65">
        <f t="shared" si="3"/>
        <v>0.0002133258809</v>
      </c>
      <c r="D112" s="42">
        <v>10886.8</v>
      </c>
      <c r="E112" s="40">
        <f t="shared" si="4"/>
        <v>0.0138950976</v>
      </c>
      <c r="F112" s="43">
        <v>7.473</v>
      </c>
      <c r="G112" s="49">
        <f t="shared" si="1"/>
        <v>0.07473</v>
      </c>
      <c r="H112" s="50">
        <f t="shared" si="2"/>
        <v>0.0001974700898</v>
      </c>
      <c r="I112" s="51">
        <f t="shared" si="5"/>
        <v>0.005453661563</v>
      </c>
    </row>
    <row r="113">
      <c r="A113" s="7">
        <v>43422.0</v>
      </c>
      <c r="B113" s="11">
        <v>107.3935</v>
      </c>
      <c r="C113" s="65">
        <f t="shared" si="3"/>
        <v>0.0002151430934</v>
      </c>
      <c r="D113" s="42">
        <v>10890.3</v>
      </c>
      <c r="E113" s="40">
        <f t="shared" si="4"/>
        <v>0.0003214902451</v>
      </c>
      <c r="F113" s="43">
        <v>7.563</v>
      </c>
      <c r="G113" s="49">
        <f t="shared" si="1"/>
        <v>0.07563</v>
      </c>
      <c r="H113" s="50">
        <f t="shared" si="2"/>
        <v>0.0001997638856</v>
      </c>
      <c r="I113" s="51">
        <f t="shared" si="5"/>
        <v>0.01161591483</v>
      </c>
    </row>
    <row r="114">
      <c r="A114" s="7">
        <v>43423.0</v>
      </c>
      <c r="B114" s="11">
        <v>107.4145</v>
      </c>
      <c r="C114" s="65">
        <f t="shared" si="3"/>
        <v>0.0001955425608</v>
      </c>
      <c r="D114" s="42">
        <v>10905.2</v>
      </c>
      <c r="E114" s="40">
        <f t="shared" si="4"/>
        <v>0.001368190041</v>
      </c>
      <c r="F114" s="43">
        <v>7.549</v>
      </c>
      <c r="G114" s="49">
        <f t="shared" si="1"/>
        <v>0.07549</v>
      </c>
      <c r="H114" s="50">
        <f t="shared" si="2"/>
        <v>0.0001994071986</v>
      </c>
      <c r="I114" s="51">
        <f t="shared" si="5"/>
        <v>-0.001785542627</v>
      </c>
    </row>
    <row r="115">
      <c r="A115" s="7">
        <v>43424.0</v>
      </c>
      <c r="B115" s="11">
        <v>107.4342</v>
      </c>
      <c r="C115" s="65">
        <f t="shared" si="3"/>
        <v>0.0001834016823</v>
      </c>
      <c r="D115" s="42">
        <v>10906.95</v>
      </c>
      <c r="E115" s="40">
        <f t="shared" si="4"/>
        <v>0.0001604739024</v>
      </c>
      <c r="F115" s="43">
        <v>7.596</v>
      </c>
      <c r="G115" s="49">
        <f t="shared" si="1"/>
        <v>0.07596</v>
      </c>
      <c r="H115" s="50">
        <f t="shared" si="2"/>
        <v>0.0002006044645</v>
      </c>
      <c r="I115" s="51">
        <f t="shared" si="5"/>
        <v>0.006004125465</v>
      </c>
    </row>
    <row r="116">
      <c r="A116" s="7">
        <v>43425.0</v>
      </c>
      <c r="B116" s="11">
        <v>107.4581</v>
      </c>
      <c r="C116" s="65">
        <f t="shared" si="3"/>
        <v>0.0002224617487</v>
      </c>
      <c r="D116" s="42">
        <v>10961.85</v>
      </c>
      <c r="E116" s="40">
        <f t="shared" si="4"/>
        <v>0.005033487822</v>
      </c>
      <c r="F116" s="43">
        <v>7.569</v>
      </c>
      <c r="G116" s="49">
        <f t="shared" si="1"/>
        <v>0.07569</v>
      </c>
      <c r="H116" s="50">
        <f t="shared" si="2"/>
        <v>0.0001999167372</v>
      </c>
      <c r="I116" s="51">
        <f t="shared" si="5"/>
        <v>-0.0034282749</v>
      </c>
    </row>
    <row r="117">
      <c r="A117" s="7">
        <v>43426.0</v>
      </c>
      <c r="B117" s="11">
        <v>107.4767</v>
      </c>
      <c r="C117" s="65">
        <f t="shared" si="3"/>
        <v>0.0001730907209</v>
      </c>
      <c r="D117" s="42">
        <v>10922.75</v>
      </c>
      <c r="E117" s="40">
        <f t="shared" si="4"/>
        <v>-0.003566916168</v>
      </c>
      <c r="F117" s="43">
        <v>7.533</v>
      </c>
      <c r="G117" s="49">
        <f t="shared" si="1"/>
        <v>0.07533</v>
      </c>
      <c r="H117" s="50">
        <f t="shared" si="2"/>
        <v>0.0001989994997</v>
      </c>
      <c r="I117" s="51">
        <f t="shared" si="5"/>
        <v>-0.004588097595</v>
      </c>
    </row>
    <row r="118">
      <c r="A118" s="7">
        <v>43427.0</v>
      </c>
      <c r="B118" s="11">
        <v>107.4997</v>
      </c>
      <c r="C118" s="65">
        <f t="shared" si="3"/>
        <v>0.0002139998716</v>
      </c>
      <c r="D118" s="42">
        <v>10831.5</v>
      </c>
      <c r="E118" s="40">
        <f t="shared" si="4"/>
        <v>-0.008354123275</v>
      </c>
      <c r="F118" s="43">
        <v>7.577</v>
      </c>
      <c r="G118" s="49">
        <f t="shared" si="1"/>
        <v>0.07577</v>
      </c>
      <c r="H118" s="50">
        <f t="shared" si="2"/>
        <v>0.0002001205262</v>
      </c>
      <c r="I118" s="51">
        <f t="shared" si="5"/>
        <v>0.005633313074</v>
      </c>
    </row>
    <row r="119">
      <c r="A119" s="7">
        <v>43428.0</v>
      </c>
      <c r="B119" s="11">
        <v>107.5228</v>
      </c>
      <c r="C119" s="65">
        <f t="shared" si="3"/>
        <v>0.0002148843206</v>
      </c>
      <c r="D119" s="42">
        <v>10849.8</v>
      </c>
      <c r="E119" s="40">
        <f t="shared" si="4"/>
        <v>0.001689516687</v>
      </c>
      <c r="F119" s="43">
        <v>7.557</v>
      </c>
      <c r="G119" s="49">
        <f t="shared" si="1"/>
        <v>0.07557</v>
      </c>
      <c r="H119" s="50">
        <f t="shared" si="2"/>
        <v>0.0001996110254</v>
      </c>
      <c r="I119" s="51">
        <f t="shared" si="5"/>
        <v>-0.002545969706</v>
      </c>
    </row>
    <row r="120">
      <c r="A120" s="7">
        <v>43429.0</v>
      </c>
      <c r="B120" s="11">
        <v>107.5458</v>
      </c>
      <c r="C120" s="65">
        <f t="shared" si="3"/>
        <v>0.00021390812</v>
      </c>
      <c r="D120" s="42">
        <v>10780.55</v>
      </c>
      <c r="E120" s="40">
        <f t="shared" si="4"/>
        <v>-0.006382606131</v>
      </c>
      <c r="F120" s="43">
        <v>7.546</v>
      </c>
      <c r="G120" s="49">
        <f t="shared" si="1"/>
        <v>0.07546</v>
      </c>
      <c r="H120" s="50">
        <f t="shared" si="2"/>
        <v>0.0001993307597</v>
      </c>
      <c r="I120" s="51">
        <f t="shared" si="5"/>
        <v>-0.001404059279</v>
      </c>
    </row>
    <row r="121">
      <c r="A121" s="7">
        <v>43430.0</v>
      </c>
      <c r="B121" s="11">
        <v>107.5691</v>
      </c>
      <c r="C121" s="65">
        <f t="shared" si="3"/>
        <v>0.0002166518823</v>
      </c>
      <c r="D121" s="42">
        <v>10661.55</v>
      </c>
      <c r="E121" s="40">
        <f t="shared" si="4"/>
        <v>-0.01103839786</v>
      </c>
      <c r="F121" s="43">
        <v>7.541</v>
      </c>
      <c r="G121" s="49">
        <f t="shared" si="1"/>
        <v>0.07541</v>
      </c>
      <c r="H121" s="50">
        <f t="shared" si="2"/>
        <v>0.0001992033568</v>
      </c>
      <c r="I121" s="51">
        <f t="shared" si="5"/>
        <v>-0.0006391535174</v>
      </c>
    </row>
    <row r="122">
      <c r="A122" s="7">
        <v>43431.0</v>
      </c>
      <c r="B122" s="11">
        <v>107.5914</v>
      </c>
      <c r="C122" s="65">
        <f t="shared" si="3"/>
        <v>0.0002073086044</v>
      </c>
      <c r="D122" s="42">
        <v>10652.2</v>
      </c>
      <c r="E122" s="40">
        <f t="shared" si="4"/>
        <v>-0.0008769831779</v>
      </c>
      <c r="F122" s="43">
        <v>7.525</v>
      </c>
      <c r="G122" s="49">
        <f t="shared" si="1"/>
        <v>0.07525</v>
      </c>
      <c r="H122" s="50">
        <f t="shared" si="2"/>
        <v>0.0001987956276</v>
      </c>
      <c r="I122" s="51">
        <f t="shared" si="5"/>
        <v>-0.002046798643</v>
      </c>
    </row>
    <row r="123">
      <c r="A123" s="7">
        <v>43432.0</v>
      </c>
      <c r="B123" s="11">
        <v>107.6139</v>
      </c>
      <c r="C123" s="65">
        <f t="shared" si="3"/>
        <v>0.0002091245211</v>
      </c>
      <c r="D123" s="42">
        <v>10651.8</v>
      </c>
      <c r="E123" s="40">
        <f t="shared" si="4"/>
        <v>-0.00003755092845</v>
      </c>
      <c r="F123" s="43">
        <v>7.551</v>
      </c>
      <c r="G123" s="49">
        <f t="shared" si="1"/>
        <v>0.07551</v>
      </c>
      <c r="H123" s="50">
        <f t="shared" si="2"/>
        <v>0.0001994581568</v>
      </c>
      <c r="I123" s="51">
        <f t="shared" si="5"/>
        <v>0.003332714979</v>
      </c>
    </row>
    <row r="124">
      <c r="A124" s="7">
        <v>43433.0</v>
      </c>
      <c r="B124" s="11">
        <v>107.6371</v>
      </c>
      <c r="C124" s="65">
        <f t="shared" si="3"/>
        <v>0.0002155855331</v>
      </c>
      <c r="D124" s="42">
        <v>10830.95</v>
      </c>
      <c r="E124" s="40">
        <f t="shared" si="4"/>
        <v>0.01681875364</v>
      </c>
      <c r="F124" s="43">
        <v>7.483</v>
      </c>
      <c r="G124" s="49">
        <f t="shared" si="1"/>
        <v>0.07483</v>
      </c>
      <c r="H124" s="50">
        <f t="shared" si="2"/>
        <v>0.0001977250506</v>
      </c>
      <c r="I124" s="51">
        <f t="shared" si="5"/>
        <v>-0.008689071324</v>
      </c>
    </row>
    <row r="125">
      <c r="A125" s="7">
        <v>43434.0</v>
      </c>
      <c r="B125" s="11">
        <v>107.6562</v>
      </c>
      <c r="C125" s="65">
        <f t="shared" si="3"/>
        <v>0.0001774481104</v>
      </c>
      <c r="D125" s="42">
        <v>10893.65</v>
      </c>
      <c r="E125" s="40">
        <f t="shared" si="4"/>
        <v>0.00578896588</v>
      </c>
      <c r="F125" s="43">
        <v>7.61</v>
      </c>
      <c r="G125" s="49">
        <f t="shared" si="1"/>
        <v>0.0761</v>
      </c>
      <c r="H125" s="50">
        <f t="shared" si="2"/>
        <v>0.000200960996</v>
      </c>
      <c r="I125" s="51">
        <f t="shared" si="5"/>
        <v>0.01636588501</v>
      </c>
    </row>
    <row r="126">
      <c r="A126" s="13">
        <v>43435.0</v>
      </c>
      <c r="B126" s="11">
        <v>107.128</v>
      </c>
      <c r="C126" s="65">
        <f t="shared" si="3"/>
        <v>-0.004906359318</v>
      </c>
      <c r="D126" s="42">
        <v>10912.25</v>
      </c>
      <c r="E126" s="40">
        <f t="shared" si="4"/>
        <v>0.001707416706</v>
      </c>
      <c r="F126" s="43">
        <v>7.672</v>
      </c>
      <c r="G126" s="49">
        <f t="shared" si="1"/>
        <v>0.07672</v>
      </c>
      <c r="H126" s="50">
        <f t="shared" si="2"/>
        <v>0.0002025393657</v>
      </c>
      <c r="I126" s="51">
        <f t="shared" si="5"/>
        <v>0.007854109446</v>
      </c>
    </row>
    <row r="127">
      <c r="A127" s="13">
        <v>43436.0</v>
      </c>
      <c r="B127" s="11">
        <v>107.1497</v>
      </c>
      <c r="C127" s="65">
        <f t="shared" si="3"/>
        <v>0.0002025614219</v>
      </c>
      <c r="D127" s="42">
        <v>10934.35</v>
      </c>
      <c r="E127" s="40">
        <f t="shared" si="4"/>
        <v>0.002025246856</v>
      </c>
      <c r="F127" s="43">
        <v>7.615</v>
      </c>
      <c r="G127" s="49">
        <f t="shared" si="1"/>
        <v>0.07615</v>
      </c>
      <c r="H127" s="50">
        <f t="shared" si="2"/>
        <v>0.0002010883175</v>
      </c>
      <c r="I127" s="51">
        <f t="shared" si="5"/>
        <v>-0.007164277235</v>
      </c>
    </row>
    <row r="128">
      <c r="A128" s="13">
        <v>43437.0</v>
      </c>
      <c r="B128" s="11">
        <v>107.1719</v>
      </c>
      <c r="C128" s="65">
        <f t="shared" si="3"/>
        <v>0.0002071867677</v>
      </c>
      <c r="D128" s="42">
        <v>11062.45</v>
      </c>
      <c r="E128" s="40">
        <f t="shared" si="4"/>
        <v>0.01171537403</v>
      </c>
      <c r="F128" s="43">
        <v>7.565</v>
      </c>
      <c r="G128" s="49">
        <f t="shared" si="1"/>
        <v>0.07565</v>
      </c>
      <c r="H128" s="50">
        <f t="shared" si="2"/>
        <v>0.0001998148371</v>
      </c>
      <c r="I128" s="51">
        <f t="shared" si="5"/>
        <v>-0.006332941058</v>
      </c>
    </row>
    <row r="129">
      <c r="A129" s="13">
        <v>43438.0</v>
      </c>
      <c r="B129" s="11">
        <v>107.1953</v>
      </c>
      <c r="C129" s="65">
        <f t="shared" si="3"/>
        <v>0.0002183408151</v>
      </c>
      <c r="D129" s="42">
        <v>11069.4</v>
      </c>
      <c r="E129" s="40">
        <f t="shared" si="4"/>
        <v>0.0006282514271</v>
      </c>
      <c r="F129" s="43">
        <v>7.501</v>
      </c>
      <c r="G129" s="49">
        <f t="shared" si="1"/>
        <v>0.07501</v>
      </c>
      <c r="H129" s="50">
        <f t="shared" si="2"/>
        <v>0.0001981839204</v>
      </c>
      <c r="I129" s="51">
        <f t="shared" si="5"/>
        <v>-0.008162140057</v>
      </c>
    </row>
    <row r="130">
      <c r="A130" s="13">
        <v>43439.0</v>
      </c>
      <c r="B130" s="11">
        <v>107.2187</v>
      </c>
      <c r="C130" s="65">
        <f t="shared" si="3"/>
        <v>0.0002182931528</v>
      </c>
      <c r="D130" s="42">
        <v>10943.6</v>
      </c>
      <c r="E130" s="40">
        <f t="shared" si="4"/>
        <v>-0.01136466294</v>
      </c>
      <c r="F130" s="43">
        <v>7.524</v>
      </c>
      <c r="G130" s="49">
        <f t="shared" si="1"/>
        <v>0.07524</v>
      </c>
      <c r="H130" s="50">
        <f t="shared" si="2"/>
        <v>0.0001987701425</v>
      </c>
      <c r="I130" s="51">
        <f t="shared" si="5"/>
        <v>0.002957970145</v>
      </c>
    </row>
    <row r="131">
      <c r="A131" s="13">
        <v>43440.0</v>
      </c>
      <c r="B131" s="11">
        <v>107.2422</v>
      </c>
      <c r="C131" s="65">
        <f t="shared" si="3"/>
        <v>0.0002191781844</v>
      </c>
      <c r="D131" s="42">
        <v>10888.8</v>
      </c>
      <c r="E131" s="40">
        <f t="shared" si="4"/>
        <v>-0.005007492964</v>
      </c>
      <c r="F131" s="43">
        <v>7.529</v>
      </c>
      <c r="G131" s="49">
        <f t="shared" si="1"/>
        <v>0.07529</v>
      </c>
      <c r="H131" s="50">
        <f t="shared" si="2"/>
        <v>0.0001988975656</v>
      </c>
      <c r="I131" s="51">
        <f t="shared" si="5"/>
        <v>0.0006410572626</v>
      </c>
    </row>
    <row r="132">
      <c r="A132" s="13">
        <v>43441.0</v>
      </c>
      <c r="B132" s="11">
        <v>107.2624</v>
      </c>
      <c r="C132" s="65">
        <f t="shared" si="3"/>
        <v>0.0001883586872</v>
      </c>
      <c r="D132" s="42">
        <v>10831.4</v>
      </c>
      <c r="E132" s="40">
        <f t="shared" si="4"/>
        <v>-0.005271471604</v>
      </c>
      <c r="F132" s="43">
        <v>7.534</v>
      </c>
      <c r="G132" s="49">
        <f t="shared" si="1"/>
        <v>0.07534</v>
      </c>
      <c r="H132" s="50">
        <f t="shared" si="2"/>
        <v>0.0001990249827</v>
      </c>
      <c r="I132" s="51">
        <f t="shared" si="5"/>
        <v>0.0006406168647</v>
      </c>
    </row>
    <row r="133">
      <c r="A133" s="13">
        <v>43442.0</v>
      </c>
      <c r="B133" s="11">
        <v>107.2847</v>
      </c>
      <c r="C133" s="65">
        <f t="shared" si="3"/>
        <v>0.0002079013708</v>
      </c>
      <c r="D133" s="42">
        <v>10793.65</v>
      </c>
      <c r="E133" s="40">
        <f t="shared" si="4"/>
        <v>-0.003485237365</v>
      </c>
      <c r="F133" s="43">
        <v>7.466</v>
      </c>
      <c r="G133" s="49">
        <f t="shared" si="1"/>
        <v>0.07466</v>
      </c>
      <c r="H133" s="50">
        <f t="shared" si="2"/>
        <v>0.0001972916032</v>
      </c>
      <c r="I133" s="51">
        <f t="shared" si="5"/>
        <v>-0.008709356225</v>
      </c>
    </row>
    <row r="134">
      <c r="A134" s="13">
        <v>43443.0</v>
      </c>
      <c r="B134" s="11">
        <v>107.3069</v>
      </c>
      <c r="C134" s="65">
        <f t="shared" si="3"/>
        <v>0.0002069260575</v>
      </c>
      <c r="D134" s="42">
        <v>10746.05</v>
      </c>
      <c r="E134" s="40">
        <f t="shared" si="4"/>
        <v>-0.004410000324</v>
      </c>
      <c r="F134" s="43">
        <v>7.521</v>
      </c>
      <c r="G134" s="49">
        <f t="shared" si="1"/>
        <v>0.07521</v>
      </c>
      <c r="H134" s="50">
        <f t="shared" si="2"/>
        <v>0.0001986936858</v>
      </c>
      <c r="I134" s="51">
        <f t="shared" si="5"/>
        <v>0.007106651313</v>
      </c>
    </row>
    <row r="135">
      <c r="A135" s="7">
        <v>43444.0</v>
      </c>
      <c r="B135" s="11">
        <v>107.3281</v>
      </c>
      <c r="C135" s="65">
        <f t="shared" si="3"/>
        <v>0.0001975641827</v>
      </c>
      <c r="D135" s="42">
        <v>10724.4</v>
      </c>
      <c r="E135" s="40">
        <f t="shared" si="4"/>
        <v>-0.002014693771</v>
      </c>
      <c r="F135" s="43">
        <v>7.577</v>
      </c>
      <c r="G135" s="49">
        <f t="shared" si="1"/>
        <v>0.07577</v>
      </c>
      <c r="H135" s="50">
        <f t="shared" si="2"/>
        <v>0.0002001205262</v>
      </c>
      <c r="I135" s="51">
        <f t="shared" si="5"/>
        <v>0.007181105751</v>
      </c>
    </row>
    <row r="136">
      <c r="A136" s="7">
        <v>43445.0</v>
      </c>
      <c r="B136" s="11">
        <v>107.3491</v>
      </c>
      <c r="C136" s="65">
        <f t="shared" si="3"/>
        <v>0.0001956617139</v>
      </c>
      <c r="D136" s="42">
        <v>10640.95</v>
      </c>
      <c r="E136" s="40">
        <f t="shared" si="4"/>
        <v>-0.0077813211</v>
      </c>
      <c r="F136" s="43">
        <v>7.58</v>
      </c>
      <c r="G136" s="49">
        <f t="shared" si="1"/>
        <v>0.0758</v>
      </c>
      <c r="H136" s="50">
        <f t="shared" si="2"/>
        <v>0.0002001969432</v>
      </c>
      <c r="I136" s="51">
        <f t="shared" si="5"/>
        <v>0.0003818547429</v>
      </c>
    </row>
    <row r="137">
      <c r="A137" s="7">
        <v>43446.0</v>
      </c>
      <c r="B137" s="11">
        <v>107.3724</v>
      </c>
      <c r="C137" s="65">
        <f t="shared" si="3"/>
        <v>0.0002170488621</v>
      </c>
      <c r="D137" s="42">
        <v>10735.45</v>
      </c>
      <c r="E137" s="40">
        <f t="shared" si="4"/>
        <v>0.00888078602</v>
      </c>
      <c r="F137" s="43">
        <v>7.545</v>
      </c>
      <c r="G137" s="49">
        <f t="shared" si="1"/>
        <v>0.07545</v>
      </c>
      <c r="H137" s="50">
        <f t="shared" si="2"/>
        <v>0.0001993052796</v>
      </c>
      <c r="I137" s="51">
        <f t="shared" si="5"/>
        <v>-0.004453932144</v>
      </c>
    </row>
    <row r="138">
      <c r="A138" s="7">
        <v>43447.0</v>
      </c>
      <c r="B138" s="11">
        <v>107.3958</v>
      </c>
      <c r="C138" s="65">
        <f t="shared" si="3"/>
        <v>0.0002179331001</v>
      </c>
      <c r="D138" s="42">
        <v>10789.85</v>
      </c>
      <c r="E138" s="40">
        <f t="shared" si="4"/>
        <v>0.00506732368</v>
      </c>
      <c r="F138" s="43">
        <v>7.544</v>
      </c>
      <c r="G138" s="49">
        <f t="shared" si="1"/>
        <v>0.07544</v>
      </c>
      <c r="H138" s="50">
        <f t="shared" si="2"/>
        <v>0.0001992797992</v>
      </c>
      <c r="I138" s="51">
        <f t="shared" si="5"/>
        <v>-0.0001278458603</v>
      </c>
    </row>
    <row r="139">
      <c r="A139" s="7">
        <v>43448.0</v>
      </c>
      <c r="B139" s="11">
        <v>107.4166</v>
      </c>
      <c r="C139" s="65">
        <f t="shared" si="3"/>
        <v>0.0001936761028</v>
      </c>
      <c r="D139" s="42">
        <v>10791.65</v>
      </c>
      <c r="E139" s="40">
        <f t="shared" si="4"/>
        <v>0.0001668234498</v>
      </c>
      <c r="F139" s="43">
        <v>7.605</v>
      </c>
      <c r="G139" s="49">
        <f t="shared" si="1"/>
        <v>0.07605</v>
      </c>
      <c r="H139" s="50">
        <f t="shared" si="2"/>
        <v>0.0002008336687</v>
      </c>
      <c r="I139" s="51">
        <f t="shared" si="5"/>
        <v>0.007797425676</v>
      </c>
    </row>
    <row r="140">
      <c r="A140" s="7">
        <v>43449.0</v>
      </c>
      <c r="B140" s="11">
        <v>107.4391</v>
      </c>
      <c r="C140" s="65">
        <f t="shared" si="3"/>
        <v>0.0002094648313</v>
      </c>
      <c r="D140" s="42">
        <v>10880.1</v>
      </c>
      <c r="E140" s="40">
        <f t="shared" si="4"/>
        <v>0.008196151654</v>
      </c>
      <c r="F140" s="43">
        <v>7.584</v>
      </c>
      <c r="G140" s="49">
        <f t="shared" si="1"/>
        <v>0.07584</v>
      </c>
      <c r="H140" s="50">
        <f t="shared" si="2"/>
        <v>0.0002002988292</v>
      </c>
      <c r="I140" s="51">
        <f t="shared" si="5"/>
        <v>-0.002663096687</v>
      </c>
    </row>
    <row r="141">
      <c r="A141" s="7">
        <v>43450.0</v>
      </c>
      <c r="B141" s="11">
        <v>107.4616</v>
      </c>
      <c r="C141" s="65">
        <f t="shared" si="3"/>
        <v>0.000209420965</v>
      </c>
      <c r="D141" s="42">
        <v>10835.3</v>
      </c>
      <c r="E141" s="40">
        <f t="shared" si="4"/>
        <v>-0.004117609213</v>
      </c>
      <c r="F141" s="43">
        <v>7.587</v>
      </c>
      <c r="G141" s="49">
        <f t="shared" si="1"/>
        <v>0.07587</v>
      </c>
      <c r="H141" s="50">
        <f t="shared" si="2"/>
        <v>0.0002003752412</v>
      </c>
      <c r="I141" s="51">
        <f t="shared" si="5"/>
        <v>0.0003814900662</v>
      </c>
    </row>
    <row r="142">
      <c r="A142" s="7">
        <v>43451.0</v>
      </c>
      <c r="B142" s="11">
        <v>107.4829</v>
      </c>
      <c r="C142" s="65">
        <f t="shared" si="3"/>
        <v>0.0001982103375</v>
      </c>
      <c r="D142" s="42">
        <v>10806.65</v>
      </c>
      <c r="E142" s="40">
        <f t="shared" si="4"/>
        <v>-0.002644135372</v>
      </c>
      <c r="F142" s="43">
        <v>7.672</v>
      </c>
      <c r="G142" s="49">
        <f t="shared" si="1"/>
        <v>0.07672</v>
      </c>
      <c r="H142" s="50">
        <f t="shared" si="2"/>
        <v>0.0002025393657</v>
      </c>
      <c r="I142" s="51">
        <f t="shared" si="5"/>
        <v>0.01080035886</v>
      </c>
    </row>
    <row r="143">
      <c r="A143" s="7">
        <v>43452.0</v>
      </c>
      <c r="B143" s="11">
        <v>107.5056</v>
      </c>
      <c r="C143" s="65">
        <f t="shared" si="3"/>
        <v>0.0002111963857</v>
      </c>
      <c r="D143" s="42">
        <v>10792.5</v>
      </c>
      <c r="E143" s="40">
        <f t="shared" si="4"/>
        <v>-0.001309378947</v>
      </c>
      <c r="F143" s="43">
        <v>7.591</v>
      </c>
      <c r="G143" s="49">
        <f t="shared" si="1"/>
        <v>0.07591</v>
      </c>
      <c r="H143" s="50">
        <f t="shared" si="2"/>
        <v>0.0002004771206</v>
      </c>
      <c r="I143" s="51">
        <f t="shared" si="5"/>
        <v>-0.01018194722</v>
      </c>
    </row>
    <row r="144">
      <c r="A144" s="7">
        <v>43453.0</v>
      </c>
      <c r="B144" s="11">
        <v>107.5285</v>
      </c>
      <c r="C144" s="65">
        <f t="shared" si="3"/>
        <v>0.0002130121594</v>
      </c>
      <c r="D144" s="42">
        <v>10863.5</v>
      </c>
      <c r="E144" s="40">
        <f t="shared" si="4"/>
        <v>0.006578642576</v>
      </c>
      <c r="F144" s="43">
        <v>7.556</v>
      </c>
      <c r="G144" s="49">
        <f t="shared" si="1"/>
        <v>0.07556</v>
      </c>
      <c r="H144" s="50">
        <f t="shared" si="2"/>
        <v>0.0001995855479</v>
      </c>
      <c r="I144" s="51">
        <f t="shared" si="5"/>
        <v>-0.004447253981</v>
      </c>
    </row>
    <row r="145">
      <c r="A145" s="7">
        <v>43454.0</v>
      </c>
      <c r="B145" s="11">
        <v>107.549</v>
      </c>
      <c r="C145" s="65">
        <f t="shared" si="3"/>
        <v>0.0001906471308</v>
      </c>
      <c r="D145" s="42">
        <v>10987.45</v>
      </c>
      <c r="E145" s="40">
        <f t="shared" si="4"/>
        <v>0.01140976665</v>
      </c>
      <c r="F145" s="43">
        <v>7.556</v>
      </c>
      <c r="G145" s="49">
        <f t="shared" si="1"/>
        <v>0.07556</v>
      </c>
      <c r="H145" s="50">
        <f t="shared" si="2"/>
        <v>0.0001995855479</v>
      </c>
      <c r="I145" s="51">
        <f t="shared" si="5"/>
        <v>0</v>
      </c>
    </row>
    <row r="146">
      <c r="A146" s="7">
        <v>43455.0</v>
      </c>
      <c r="B146" s="11">
        <v>107.5667</v>
      </c>
      <c r="C146" s="65">
        <f t="shared" si="3"/>
        <v>0.0001645761467</v>
      </c>
      <c r="D146" s="42">
        <v>11053.0</v>
      </c>
      <c r="E146" s="40">
        <f t="shared" si="4"/>
        <v>0.005965897456</v>
      </c>
      <c r="F146" s="43">
        <v>7.572</v>
      </c>
      <c r="G146" s="49">
        <f t="shared" si="1"/>
        <v>0.07572</v>
      </c>
      <c r="H146" s="50">
        <f t="shared" si="2"/>
        <v>0.0001999931599</v>
      </c>
      <c r="I146" s="51">
        <f t="shared" si="5"/>
        <v>0.002042292033</v>
      </c>
    </row>
    <row r="147">
      <c r="A147" s="7">
        <v>43456.0</v>
      </c>
      <c r="B147" s="11">
        <v>107.5891</v>
      </c>
      <c r="C147" s="65">
        <f t="shared" si="3"/>
        <v>0.0002082428856</v>
      </c>
      <c r="D147" s="42">
        <v>11058.2</v>
      </c>
      <c r="E147" s="40">
        <f t="shared" si="4"/>
        <v>0.0004704605085</v>
      </c>
      <c r="F147" s="43">
        <v>7.58</v>
      </c>
      <c r="G147" s="49">
        <f t="shared" si="1"/>
        <v>0.0758</v>
      </c>
      <c r="H147" s="50">
        <f t="shared" si="2"/>
        <v>0.0002001969432</v>
      </c>
      <c r="I147" s="51">
        <f t="shared" si="5"/>
        <v>0.001018951423</v>
      </c>
    </row>
    <row r="148">
      <c r="A148" s="7">
        <v>43457.0</v>
      </c>
      <c r="B148" s="11">
        <v>107.6115</v>
      </c>
      <c r="C148" s="65">
        <f t="shared" si="3"/>
        <v>0.0002081995295</v>
      </c>
      <c r="D148" s="42">
        <v>11035.4</v>
      </c>
      <c r="E148" s="40">
        <f t="shared" si="4"/>
        <v>-0.002061818379</v>
      </c>
      <c r="F148" s="43">
        <v>7.532</v>
      </c>
      <c r="G148" s="49">
        <f t="shared" si="1"/>
        <v>0.07532</v>
      </c>
      <c r="H148" s="50">
        <f t="shared" si="2"/>
        <v>0.0001989740165</v>
      </c>
      <c r="I148" s="51">
        <f t="shared" si="5"/>
        <v>-0.006108617977</v>
      </c>
    </row>
    <row r="149">
      <c r="A149" s="7">
        <v>43458.0</v>
      </c>
      <c r="B149" s="11">
        <v>107.6352</v>
      </c>
      <c r="C149" s="65">
        <f t="shared" si="3"/>
        <v>0.0002202366847</v>
      </c>
      <c r="D149" s="42">
        <v>11168.05</v>
      </c>
      <c r="E149" s="40">
        <f t="shared" si="4"/>
        <v>0.01202040705</v>
      </c>
      <c r="F149" s="43">
        <v>7.512</v>
      </c>
      <c r="G149" s="49">
        <f t="shared" si="1"/>
        <v>0.07512</v>
      </c>
      <c r="H149" s="50">
        <f t="shared" si="2"/>
        <v>0.0001984643031</v>
      </c>
      <c r="I149" s="51">
        <f t="shared" si="5"/>
        <v>-0.002561708597</v>
      </c>
    </row>
    <row r="150">
      <c r="A150" s="7">
        <v>43459.0</v>
      </c>
      <c r="B150" s="11">
        <v>107.6574</v>
      </c>
      <c r="C150" s="65">
        <f t="shared" si="3"/>
        <v>0.0002062522298</v>
      </c>
      <c r="D150" s="42">
        <v>11301.2</v>
      </c>
      <c r="E150" s="40">
        <f t="shared" si="4"/>
        <v>0.01192240364</v>
      </c>
      <c r="F150" s="43">
        <v>7.513</v>
      </c>
      <c r="G150" s="49">
        <f t="shared" si="1"/>
        <v>0.07513</v>
      </c>
      <c r="H150" s="50">
        <f t="shared" si="2"/>
        <v>0.000198489791</v>
      </c>
      <c r="I150" s="51">
        <f t="shared" si="5"/>
        <v>0.0001284257059</v>
      </c>
    </row>
    <row r="151">
      <c r="A151" s="7">
        <v>43460.0</v>
      </c>
      <c r="B151" s="11">
        <v>107.6784</v>
      </c>
      <c r="C151" s="65">
        <f t="shared" si="3"/>
        <v>0.0001950632284</v>
      </c>
      <c r="D151" s="42">
        <v>11341.7</v>
      </c>
      <c r="E151" s="40">
        <f t="shared" si="4"/>
        <v>0.003583690228</v>
      </c>
      <c r="F151" s="43">
        <v>7.548</v>
      </c>
      <c r="G151" s="49">
        <f t="shared" si="1"/>
        <v>0.07548</v>
      </c>
      <c r="H151" s="50">
        <f t="shared" si="2"/>
        <v>0.0001993817192</v>
      </c>
      <c r="I151" s="51">
        <f t="shared" si="5"/>
        <v>0.004493572284</v>
      </c>
    </row>
    <row r="152">
      <c r="A152" s="7">
        <v>43461.0</v>
      </c>
      <c r="B152" s="11">
        <v>107.7017</v>
      </c>
      <c r="C152" s="65">
        <f t="shared" si="3"/>
        <v>0.0002163850874</v>
      </c>
      <c r="D152" s="42">
        <v>11343.25</v>
      </c>
      <c r="E152" s="40">
        <f t="shared" si="4"/>
        <v>0.0001366638158</v>
      </c>
      <c r="F152" s="43">
        <v>7.553</v>
      </c>
      <c r="G152" s="49">
        <f t="shared" si="1"/>
        <v>0.07553</v>
      </c>
      <c r="H152" s="50">
        <f t="shared" si="2"/>
        <v>0.0001995091139</v>
      </c>
      <c r="I152" s="51">
        <f t="shared" si="5"/>
        <v>0.0006389486824</v>
      </c>
    </row>
    <row r="153">
      <c r="A153" s="7">
        <v>43462.0</v>
      </c>
      <c r="B153" s="11">
        <v>107.7249</v>
      </c>
      <c r="C153" s="65">
        <f t="shared" si="3"/>
        <v>0.0002154097846</v>
      </c>
      <c r="D153" s="42">
        <v>11426.85</v>
      </c>
      <c r="E153" s="40">
        <f t="shared" si="4"/>
        <v>0.007370021819</v>
      </c>
      <c r="F153" s="43">
        <v>7.502</v>
      </c>
      <c r="G153" s="49">
        <f t="shared" si="1"/>
        <v>0.07502</v>
      </c>
      <c r="H153" s="50">
        <f t="shared" si="2"/>
        <v>0.0001982094109</v>
      </c>
      <c r="I153" s="51">
        <f t="shared" si="5"/>
        <v>-0.006514504467</v>
      </c>
    </row>
    <row r="154">
      <c r="A154" s="7">
        <v>43463.0</v>
      </c>
      <c r="B154" s="11">
        <v>107.1976</v>
      </c>
      <c r="C154" s="65">
        <f t="shared" si="3"/>
        <v>-0.004894875744</v>
      </c>
      <c r="D154" s="42">
        <v>11462.2</v>
      </c>
      <c r="E154" s="40">
        <f t="shared" si="4"/>
        <v>0.003093590972</v>
      </c>
      <c r="F154" s="43">
        <v>7.48</v>
      </c>
      <c r="G154" s="49">
        <f t="shared" si="1"/>
        <v>0.0748</v>
      </c>
      <c r="H154" s="50">
        <f t="shared" si="2"/>
        <v>0.0001976485649</v>
      </c>
      <c r="I154" s="51">
        <f t="shared" si="5"/>
        <v>-0.002829563176</v>
      </c>
    </row>
    <row r="155">
      <c r="A155" s="7">
        <v>43464.0</v>
      </c>
      <c r="B155" s="11">
        <v>107.2202</v>
      </c>
      <c r="C155" s="65">
        <f t="shared" si="3"/>
        <v>0.0002108256155</v>
      </c>
      <c r="D155" s="42">
        <v>11532.4</v>
      </c>
      <c r="E155" s="40">
        <f t="shared" si="4"/>
        <v>0.006124478721</v>
      </c>
      <c r="F155" s="43">
        <v>7.536</v>
      </c>
      <c r="G155" s="49">
        <f t="shared" si="1"/>
        <v>0.07536</v>
      </c>
      <c r="H155" s="50">
        <f t="shared" si="2"/>
        <v>0.0001990759479</v>
      </c>
      <c r="I155" s="51">
        <f t="shared" si="5"/>
        <v>0.007221823391</v>
      </c>
    </row>
    <row r="156">
      <c r="A156" s="7">
        <v>43465.0</v>
      </c>
      <c r="B156" s="11">
        <v>107.2479</v>
      </c>
      <c r="C156" s="65">
        <f t="shared" si="3"/>
        <v>0.0002583468414</v>
      </c>
      <c r="D156" s="42">
        <v>11521.05</v>
      </c>
      <c r="E156" s="40">
        <f t="shared" si="4"/>
        <v>-0.0009841836912</v>
      </c>
      <c r="F156" s="43">
        <v>7.517</v>
      </c>
      <c r="G156" s="49">
        <f t="shared" si="1"/>
        <v>0.07517</v>
      </c>
      <c r="H156" s="50">
        <f t="shared" si="2"/>
        <v>0.0001985917403</v>
      </c>
      <c r="I156" s="51">
        <f t="shared" si="5"/>
        <v>-0.00243227558</v>
      </c>
    </row>
    <row r="157">
      <c r="A157" s="13">
        <v>43466.0</v>
      </c>
      <c r="B157" s="11">
        <v>107.2726</v>
      </c>
      <c r="C157" s="65">
        <f t="shared" si="3"/>
        <v>0.0002303075398</v>
      </c>
      <c r="D157" s="42">
        <v>11456.9</v>
      </c>
      <c r="E157" s="40">
        <f t="shared" si="4"/>
        <v>-0.005568068883</v>
      </c>
      <c r="F157" s="43">
        <v>7.504</v>
      </c>
      <c r="G157" s="49">
        <f t="shared" si="1"/>
        <v>0.07504</v>
      </c>
      <c r="H157" s="50">
        <f t="shared" si="2"/>
        <v>0.0001982603912</v>
      </c>
      <c r="I157" s="51">
        <f t="shared" si="5"/>
        <v>-0.001668493779</v>
      </c>
    </row>
    <row r="158">
      <c r="A158" s="13">
        <v>43467.0</v>
      </c>
      <c r="B158" s="11">
        <v>107.2966</v>
      </c>
      <c r="C158" s="65">
        <f t="shared" si="3"/>
        <v>0.000223729079</v>
      </c>
      <c r="D158" s="42">
        <v>11354.25</v>
      </c>
      <c r="E158" s="40">
        <f t="shared" si="4"/>
        <v>-0.008959666227</v>
      </c>
      <c r="F158" s="43">
        <v>7.471</v>
      </c>
      <c r="G158" s="49">
        <f t="shared" si="1"/>
        <v>0.07471</v>
      </c>
      <c r="H158" s="50">
        <f t="shared" si="2"/>
        <v>0.0001974190948</v>
      </c>
      <c r="I158" s="51">
        <f t="shared" si="5"/>
        <v>-0.004243391188</v>
      </c>
    </row>
    <row r="159">
      <c r="A159" s="13">
        <v>43468.0</v>
      </c>
      <c r="B159" s="11">
        <v>107.3171</v>
      </c>
      <c r="C159" s="65">
        <f t="shared" si="3"/>
        <v>0.0001910591762</v>
      </c>
      <c r="D159" s="42">
        <v>11483.25</v>
      </c>
      <c r="E159" s="40">
        <f t="shared" si="4"/>
        <v>0.0113613845</v>
      </c>
      <c r="F159" s="43">
        <v>7.342</v>
      </c>
      <c r="G159" s="49">
        <f t="shared" si="1"/>
        <v>0.07342</v>
      </c>
      <c r="H159" s="50">
        <f t="shared" si="2"/>
        <v>0.000194127917</v>
      </c>
      <c r="I159" s="51">
        <f t="shared" si="5"/>
        <v>-0.01667102075</v>
      </c>
    </row>
    <row r="160">
      <c r="A160" s="13">
        <v>43469.0</v>
      </c>
      <c r="B160" s="11">
        <v>107.3372</v>
      </c>
      <c r="C160" s="65">
        <f t="shared" si="3"/>
        <v>0.0001872954077</v>
      </c>
      <c r="D160" s="42">
        <v>11445.05</v>
      </c>
      <c r="E160" s="40">
        <f t="shared" si="4"/>
        <v>-0.003326584373</v>
      </c>
      <c r="F160" s="43">
        <v>7.327</v>
      </c>
      <c r="G160" s="49">
        <f t="shared" si="1"/>
        <v>0.07327</v>
      </c>
      <c r="H160" s="50">
        <f t="shared" si="2"/>
        <v>0.000193744966</v>
      </c>
      <c r="I160" s="51">
        <f t="shared" si="5"/>
        <v>-0.001972673817</v>
      </c>
    </row>
    <row r="161">
      <c r="A161" s="13">
        <v>43470.0</v>
      </c>
      <c r="B161" s="11">
        <v>107.3591</v>
      </c>
      <c r="C161" s="65">
        <f t="shared" si="3"/>
        <v>0.0002040299169</v>
      </c>
      <c r="D161" s="42">
        <v>11570.0</v>
      </c>
      <c r="E161" s="40">
        <f t="shared" si="4"/>
        <v>0.0109173835</v>
      </c>
      <c r="F161" s="43">
        <v>7.323</v>
      </c>
      <c r="G161" s="49">
        <f t="shared" si="1"/>
        <v>0.07323</v>
      </c>
      <c r="H161" s="50">
        <f t="shared" si="2"/>
        <v>0.0001936428367</v>
      </c>
      <c r="I161" s="51">
        <f t="shared" si="5"/>
        <v>-0.0005271326473</v>
      </c>
    </row>
    <row r="162">
      <c r="A162" s="13">
        <v>43471.0</v>
      </c>
      <c r="B162" s="11">
        <v>107.3811</v>
      </c>
      <c r="C162" s="65">
        <f t="shared" si="3"/>
        <v>0.0002049197506</v>
      </c>
      <c r="D162" s="42">
        <v>11623.9</v>
      </c>
      <c r="E162" s="40">
        <f t="shared" si="4"/>
        <v>0.004658599827</v>
      </c>
      <c r="F162" s="43">
        <v>7.346</v>
      </c>
      <c r="G162" s="49">
        <f t="shared" si="1"/>
        <v>0.07346</v>
      </c>
      <c r="H162" s="50">
        <f t="shared" si="2"/>
        <v>0.0001942300283</v>
      </c>
      <c r="I162" s="51">
        <f t="shared" si="5"/>
        <v>0.003032343646</v>
      </c>
    </row>
    <row r="163">
      <c r="A163" s="13">
        <v>43472.0</v>
      </c>
      <c r="B163" s="11">
        <v>107.4026</v>
      </c>
      <c r="C163" s="65">
        <f t="shared" si="3"/>
        <v>0.0002002214542</v>
      </c>
      <c r="D163" s="42">
        <v>11713.2</v>
      </c>
      <c r="E163" s="40">
        <f t="shared" si="4"/>
        <v>0.007682447371</v>
      </c>
      <c r="F163" s="43">
        <v>7.272</v>
      </c>
      <c r="G163" s="49">
        <f t="shared" si="1"/>
        <v>0.07272</v>
      </c>
      <c r="H163" s="50">
        <f t="shared" si="2"/>
        <v>0.0001923403553</v>
      </c>
      <c r="I163" s="51">
        <f t="shared" si="5"/>
        <v>-0.009729046653</v>
      </c>
    </row>
    <row r="164">
      <c r="A164" s="13">
        <v>43473.0</v>
      </c>
      <c r="B164" s="11">
        <v>107.4242</v>
      </c>
      <c r="C164" s="65">
        <f t="shared" si="3"/>
        <v>0.0002011124498</v>
      </c>
      <c r="D164" s="42">
        <v>11643.95</v>
      </c>
      <c r="E164" s="40">
        <f t="shared" si="4"/>
        <v>-0.00591213332</v>
      </c>
      <c r="F164" s="43">
        <v>7.271</v>
      </c>
      <c r="G164" s="49">
        <f t="shared" si="1"/>
        <v>0.07271</v>
      </c>
      <c r="H164" s="50">
        <f t="shared" si="2"/>
        <v>0.0001923148103</v>
      </c>
      <c r="I164" s="51">
        <f t="shared" si="5"/>
        <v>-0.0001328115618</v>
      </c>
    </row>
    <row r="165">
      <c r="A165" s="13">
        <v>43474.0</v>
      </c>
      <c r="B165" s="11">
        <v>107.4458</v>
      </c>
      <c r="C165" s="65">
        <f t="shared" si="3"/>
        <v>0.0002010720117</v>
      </c>
      <c r="D165" s="42">
        <v>11598.0</v>
      </c>
      <c r="E165" s="40">
        <f t="shared" si="4"/>
        <v>-0.003946255351</v>
      </c>
      <c r="F165" s="43">
        <v>7.348</v>
      </c>
      <c r="G165" s="49">
        <f t="shared" si="1"/>
        <v>0.07348</v>
      </c>
      <c r="H165" s="50">
        <f t="shared" si="2"/>
        <v>0.0001942810825</v>
      </c>
      <c r="I165" s="51">
        <f t="shared" si="5"/>
        <v>0.01022423722</v>
      </c>
    </row>
    <row r="166">
      <c r="A166" s="7">
        <v>43475.0</v>
      </c>
      <c r="B166" s="11">
        <v>107.4677</v>
      </c>
      <c r="C166" s="65">
        <f t="shared" si="3"/>
        <v>0.0002038236953</v>
      </c>
      <c r="D166" s="42">
        <v>11665.95</v>
      </c>
      <c r="E166" s="40">
        <f t="shared" si="4"/>
        <v>0.005858768753</v>
      </c>
      <c r="F166" s="43">
        <v>7.353</v>
      </c>
      <c r="G166" s="49">
        <f t="shared" si="1"/>
        <v>0.07353</v>
      </c>
      <c r="H166" s="50">
        <f t="shared" si="2"/>
        <v>0.0001944087139</v>
      </c>
      <c r="I166" s="51">
        <f t="shared" si="5"/>
        <v>0.0006569418794</v>
      </c>
    </row>
    <row r="167">
      <c r="A167" s="7">
        <v>43476.0</v>
      </c>
      <c r="B167" s="11">
        <v>107.4893</v>
      </c>
      <c r="C167" s="65">
        <f t="shared" si="3"/>
        <v>0.0002009906232</v>
      </c>
      <c r="D167" s="42">
        <v>11604.5</v>
      </c>
      <c r="E167" s="40">
        <f t="shared" si="4"/>
        <v>-0.00526746643</v>
      </c>
      <c r="F167" s="43">
        <v>7.4</v>
      </c>
      <c r="G167" s="49">
        <f t="shared" si="1"/>
        <v>0.074</v>
      </c>
      <c r="H167" s="50">
        <f t="shared" si="2"/>
        <v>0.0001956081592</v>
      </c>
      <c r="I167" s="51">
        <f t="shared" si="5"/>
        <v>0.00616970945</v>
      </c>
    </row>
    <row r="168">
      <c r="A168" s="7">
        <v>43477.0</v>
      </c>
      <c r="B168" s="11">
        <v>107.5107</v>
      </c>
      <c r="C168" s="65">
        <f t="shared" si="3"/>
        <v>0.0001990895838</v>
      </c>
      <c r="D168" s="42">
        <v>11671.95</v>
      </c>
      <c r="E168" s="40">
        <f t="shared" si="4"/>
        <v>0.005812400362</v>
      </c>
      <c r="F168" s="43">
        <v>7.374</v>
      </c>
      <c r="G168" s="49">
        <f t="shared" si="1"/>
        <v>0.07374</v>
      </c>
      <c r="H168" s="50">
        <f t="shared" si="2"/>
        <v>0.0001949447009</v>
      </c>
      <c r="I168" s="51">
        <f t="shared" si="5"/>
        <v>-0.003391771673</v>
      </c>
    </row>
    <row r="169">
      <c r="A169" s="7">
        <v>43478.0</v>
      </c>
      <c r="B169" s="11">
        <v>107.5324</v>
      </c>
      <c r="C169" s="65">
        <f t="shared" si="3"/>
        <v>0.000201840375</v>
      </c>
      <c r="D169" s="42">
        <v>11584.3</v>
      </c>
      <c r="E169" s="40">
        <f t="shared" si="4"/>
        <v>-0.007509456432</v>
      </c>
      <c r="F169" s="43">
        <v>7.367</v>
      </c>
      <c r="G169" s="49">
        <f t="shared" si="1"/>
        <v>0.07367</v>
      </c>
      <c r="H169" s="50">
        <f t="shared" si="2"/>
        <v>0.0001947660502</v>
      </c>
      <c r="I169" s="51">
        <f t="shared" si="5"/>
        <v>-0.0009164175174</v>
      </c>
    </row>
    <row r="170">
      <c r="A170" s="7">
        <v>43479.0</v>
      </c>
      <c r="B170" s="11">
        <v>107.5544</v>
      </c>
      <c r="C170" s="65">
        <f t="shared" si="3"/>
        <v>0.0002045895005</v>
      </c>
      <c r="D170" s="42">
        <v>11596.7</v>
      </c>
      <c r="E170" s="40">
        <f t="shared" si="4"/>
        <v>0.001070414268</v>
      </c>
      <c r="F170" s="43">
        <v>7.371</v>
      </c>
      <c r="G170" s="49">
        <f t="shared" si="1"/>
        <v>0.07371</v>
      </c>
      <c r="H170" s="50">
        <f t="shared" si="2"/>
        <v>0.0001948681378</v>
      </c>
      <c r="I170" s="51">
        <f t="shared" si="5"/>
        <v>0.0005241547925</v>
      </c>
    </row>
    <row r="171">
      <c r="A171" s="7">
        <v>43480.0</v>
      </c>
      <c r="B171" s="11">
        <v>107.5763</v>
      </c>
      <c r="C171" s="65">
        <f t="shared" si="3"/>
        <v>0.0002036178901</v>
      </c>
      <c r="D171" s="42">
        <v>11643.45</v>
      </c>
      <c r="E171" s="40">
        <f t="shared" si="4"/>
        <v>0.004031319255</v>
      </c>
      <c r="F171" s="43">
        <v>7.409</v>
      </c>
      <c r="G171" s="49">
        <f t="shared" si="1"/>
        <v>0.07409</v>
      </c>
      <c r="H171" s="50">
        <f t="shared" si="2"/>
        <v>0.0001958377805</v>
      </c>
      <c r="I171" s="51">
        <f t="shared" si="5"/>
        <v>0.004975891385</v>
      </c>
    </row>
    <row r="172">
      <c r="A172" s="7">
        <v>43481.0</v>
      </c>
      <c r="B172" s="11">
        <v>107.598</v>
      </c>
      <c r="C172" s="65">
        <f t="shared" si="3"/>
        <v>0.0002017172927</v>
      </c>
      <c r="D172" s="42">
        <v>11690.35</v>
      </c>
      <c r="E172" s="40">
        <f t="shared" si="4"/>
        <v>0.004028015751</v>
      </c>
      <c r="F172" s="43">
        <v>7.392</v>
      </c>
      <c r="G172" s="49">
        <f t="shared" si="1"/>
        <v>0.07392</v>
      </c>
      <c r="H172" s="50">
        <f t="shared" si="2"/>
        <v>0.0001954040352</v>
      </c>
      <c r="I172" s="51">
        <f t="shared" si="5"/>
        <v>-0.002214818921</v>
      </c>
    </row>
    <row r="173">
      <c r="A173" s="7">
        <v>43482.0</v>
      </c>
      <c r="B173" s="11">
        <v>107.6202</v>
      </c>
      <c r="C173" s="65">
        <f t="shared" si="3"/>
        <v>0.0002063235376</v>
      </c>
      <c r="D173" s="42">
        <v>11787.15</v>
      </c>
      <c r="E173" s="40">
        <f t="shared" si="4"/>
        <v>0.00828033378</v>
      </c>
      <c r="F173" s="43">
        <v>7.39</v>
      </c>
      <c r="G173" s="49">
        <f t="shared" si="1"/>
        <v>0.0739</v>
      </c>
      <c r="H173" s="50">
        <f t="shared" si="2"/>
        <v>0.0001953530019</v>
      </c>
      <c r="I173" s="51">
        <f t="shared" si="5"/>
        <v>-0.0002611683595</v>
      </c>
    </row>
    <row r="174">
      <c r="A174" s="7">
        <v>43483.0</v>
      </c>
      <c r="B174" s="11">
        <v>107.6418</v>
      </c>
      <c r="C174" s="65">
        <f t="shared" si="3"/>
        <v>0.0002007058155</v>
      </c>
      <c r="D174" s="42">
        <v>11752.8</v>
      </c>
      <c r="E174" s="40">
        <f t="shared" si="4"/>
        <v>-0.002914190453</v>
      </c>
      <c r="F174" s="43">
        <v>7.42</v>
      </c>
      <c r="G174" s="49">
        <f t="shared" si="1"/>
        <v>0.0742</v>
      </c>
      <c r="H174" s="50">
        <f t="shared" si="2"/>
        <v>0.0001961184026</v>
      </c>
      <c r="I174" s="51">
        <f t="shared" si="5"/>
        <v>0.003918039437</v>
      </c>
    </row>
    <row r="175">
      <c r="A175" s="7">
        <v>43484.0</v>
      </c>
      <c r="B175" s="11">
        <v>107.6632</v>
      </c>
      <c r="C175" s="65">
        <f t="shared" si="3"/>
        <v>0.0001988075264</v>
      </c>
      <c r="D175" s="42">
        <v>11594.45</v>
      </c>
      <c r="E175" s="40">
        <f t="shared" si="4"/>
        <v>-0.01347338507</v>
      </c>
      <c r="F175" s="43">
        <v>7.474</v>
      </c>
      <c r="G175" s="49">
        <f t="shared" si="1"/>
        <v>0.07474</v>
      </c>
      <c r="H175" s="50">
        <f t="shared" si="2"/>
        <v>0.000197495587</v>
      </c>
      <c r="I175" s="51">
        <f t="shared" si="5"/>
        <v>0.007022208607</v>
      </c>
    </row>
    <row r="176">
      <c r="A176" s="7">
        <v>43485.0</v>
      </c>
      <c r="B176" s="11">
        <v>107.6847</v>
      </c>
      <c r="C176" s="65">
        <f t="shared" si="3"/>
        <v>0.0001996968323</v>
      </c>
      <c r="D176" s="42">
        <v>11575.95</v>
      </c>
      <c r="E176" s="40">
        <f t="shared" si="4"/>
        <v>-0.001595590994</v>
      </c>
      <c r="F176" s="43">
        <v>7.473</v>
      </c>
      <c r="G176" s="49">
        <f t="shared" si="1"/>
        <v>0.07473</v>
      </c>
      <c r="H176" s="50">
        <f t="shared" si="2"/>
        <v>0.0001974700898</v>
      </c>
      <c r="I176" s="51">
        <f t="shared" si="5"/>
        <v>-0.0001291023365</v>
      </c>
    </row>
    <row r="177">
      <c r="A177" s="7">
        <v>43486.0</v>
      </c>
      <c r="B177" s="11">
        <v>107.7051</v>
      </c>
      <c r="C177" s="65">
        <f t="shared" si="3"/>
        <v>0.0001894419541</v>
      </c>
      <c r="D177" s="42">
        <v>11726.15</v>
      </c>
      <c r="E177" s="40">
        <f t="shared" si="4"/>
        <v>0.01297517698</v>
      </c>
      <c r="F177" s="43">
        <v>7.424</v>
      </c>
      <c r="G177" s="49">
        <f t="shared" si="1"/>
        <v>0.07424</v>
      </c>
      <c r="H177" s="50">
        <f t="shared" si="2"/>
        <v>0.00019622044</v>
      </c>
      <c r="I177" s="51">
        <f t="shared" si="5"/>
        <v>-0.006328299469</v>
      </c>
    </row>
    <row r="178">
      <c r="A178" s="7">
        <v>43487.0</v>
      </c>
      <c r="B178" s="11">
        <v>107.7267</v>
      </c>
      <c r="C178" s="65">
        <f t="shared" si="3"/>
        <v>0.0002005476064</v>
      </c>
      <c r="D178" s="42">
        <v>11641.8</v>
      </c>
      <c r="E178" s="40">
        <f t="shared" si="4"/>
        <v>-0.007193324322</v>
      </c>
      <c r="F178" s="43">
        <v>7.451</v>
      </c>
      <c r="G178" s="49">
        <f t="shared" si="1"/>
        <v>0.07451</v>
      </c>
      <c r="H178" s="50">
        <f t="shared" si="2"/>
        <v>0.0001969090928</v>
      </c>
      <c r="I178" s="51">
        <f t="shared" si="5"/>
        <v>0.003509587878</v>
      </c>
    </row>
    <row r="179">
      <c r="A179" s="7">
        <v>43488.0</v>
      </c>
      <c r="B179" s="11">
        <v>107.7477</v>
      </c>
      <c r="C179" s="65">
        <f t="shared" si="3"/>
        <v>0.0001949377452</v>
      </c>
      <c r="D179" s="42">
        <v>11754.65</v>
      </c>
      <c r="E179" s="40">
        <f t="shared" si="4"/>
        <v>0.009693518184</v>
      </c>
      <c r="F179" s="43">
        <v>7.408</v>
      </c>
      <c r="G179" s="49">
        <f t="shared" si="1"/>
        <v>0.07408</v>
      </c>
      <c r="H179" s="50">
        <f t="shared" si="2"/>
        <v>0.0001958122679</v>
      </c>
      <c r="I179" s="51">
        <f t="shared" si="5"/>
        <v>-0.005570209646</v>
      </c>
    </row>
    <row r="180">
      <c r="A180" s="7">
        <v>43489.0</v>
      </c>
      <c r="B180" s="11">
        <v>107.7694</v>
      </c>
      <c r="C180" s="65">
        <f t="shared" si="3"/>
        <v>0.0002013964103</v>
      </c>
      <c r="D180" s="42">
        <v>11748.15</v>
      </c>
      <c r="E180" s="40">
        <f t="shared" si="4"/>
        <v>-0.0005529726534</v>
      </c>
      <c r="F180" s="43">
        <v>7.414</v>
      </c>
      <c r="G180" s="49">
        <f t="shared" si="1"/>
        <v>0.07414</v>
      </c>
      <c r="H180" s="50">
        <f t="shared" si="2"/>
        <v>0.0001959653395</v>
      </c>
      <c r="I180" s="51">
        <f t="shared" si="5"/>
        <v>0.0007817264266</v>
      </c>
    </row>
    <row r="181">
      <c r="A181" s="7">
        <v>43490.0</v>
      </c>
      <c r="B181" s="11">
        <v>107.7908</v>
      </c>
      <c r="C181" s="65">
        <f t="shared" si="3"/>
        <v>0.0001985721364</v>
      </c>
      <c r="D181" s="42">
        <v>11724.75</v>
      </c>
      <c r="E181" s="40">
        <f t="shared" si="4"/>
        <v>-0.001991802965</v>
      </c>
      <c r="F181" s="43">
        <v>7.386</v>
      </c>
      <c r="G181" s="49">
        <f t="shared" si="1"/>
        <v>0.07386</v>
      </c>
      <c r="H181" s="50">
        <f t="shared" si="2"/>
        <v>0.0001952509323</v>
      </c>
      <c r="I181" s="51">
        <f t="shared" si="5"/>
        <v>-0.003645579444</v>
      </c>
    </row>
    <row r="182">
      <c r="A182" s="7">
        <v>43491.0</v>
      </c>
      <c r="B182" s="11">
        <v>107.2623</v>
      </c>
      <c r="C182" s="65">
        <f t="shared" si="3"/>
        <v>-0.004903015842</v>
      </c>
      <c r="D182" s="42">
        <v>11712.25</v>
      </c>
      <c r="E182" s="40">
        <f t="shared" si="4"/>
        <v>-0.001066120813</v>
      </c>
      <c r="F182" s="43">
        <v>7.397</v>
      </c>
      <c r="G182" s="49">
        <f t="shared" si="1"/>
        <v>0.07397</v>
      </c>
      <c r="H182" s="50">
        <f t="shared" si="2"/>
        <v>0.0001955316145</v>
      </c>
      <c r="I182" s="51">
        <f t="shared" si="5"/>
        <v>0.001437545651</v>
      </c>
    </row>
    <row r="183">
      <c r="A183" s="7">
        <v>43492.0</v>
      </c>
      <c r="B183" s="11">
        <v>107.2836</v>
      </c>
      <c r="C183" s="65">
        <f t="shared" si="3"/>
        <v>0.0001985786245</v>
      </c>
      <c r="D183" s="42">
        <v>11598.25</v>
      </c>
      <c r="E183" s="40">
        <f t="shared" si="4"/>
        <v>-0.009733398792</v>
      </c>
      <c r="F183" s="43">
        <v>7.394</v>
      </c>
      <c r="G183" s="49">
        <f t="shared" si="1"/>
        <v>0.07394</v>
      </c>
      <c r="H183" s="50">
        <f t="shared" si="2"/>
        <v>0.0001954550676</v>
      </c>
      <c r="I183" s="51">
        <f t="shared" si="5"/>
        <v>-0.0003914805705</v>
      </c>
    </row>
    <row r="184">
      <c r="A184" s="7">
        <v>43493.0</v>
      </c>
      <c r="B184" s="11">
        <v>107.3056</v>
      </c>
      <c r="C184" s="65">
        <f t="shared" si="3"/>
        <v>0.0002050639613</v>
      </c>
      <c r="D184" s="42">
        <v>11497.9</v>
      </c>
      <c r="E184" s="40">
        <f t="shared" si="4"/>
        <v>-0.008652167353</v>
      </c>
      <c r="F184" s="43">
        <v>7.382</v>
      </c>
      <c r="G184" s="49">
        <f t="shared" si="1"/>
        <v>0.07382</v>
      </c>
      <c r="H184" s="50">
        <f t="shared" si="2"/>
        <v>0.000195148859</v>
      </c>
      <c r="I184" s="51">
        <f t="shared" si="5"/>
        <v>-0.001566644662</v>
      </c>
    </row>
    <row r="185">
      <c r="A185" s="7">
        <v>43494.0</v>
      </c>
      <c r="B185" s="11">
        <v>107.3276</v>
      </c>
      <c r="C185" s="65">
        <f t="shared" si="3"/>
        <v>0.0002050219187</v>
      </c>
      <c r="D185" s="42">
        <v>11359.45</v>
      </c>
      <c r="E185" s="40">
        <f t="shared" si="4"/>
        <v>-0.01204132929</v>
      </c>
      <c r="F185" s="43">
        <v>7.375</v>
      </c>
      <c r="G185" s="49">
        <f t="shared" si="1"/>
        <v>0.07375</v>
      </c>
      <c r="H185" s="50">
        <f t="shared" si="2"/>
        <v>0.0001949702215</v>
      </c>
      <c r="I185" s="51">
        <f t="shared" si="5"/>
        <v>-0.0009153907749</v>
      </c>
    </row>
    <row r="186">
      <c r="A186" s="7">
        <v>43495.0</v>
      </c>
      <c r="B186" s="11">
        <v>107.3496</v>
      </c>
      <c r="C186" s="65">
        <f t="shared" si="3"/>
        <v>0.0002049798933</v>
      </c>
      <c r="D186" s="42">
        <v>11301.8</v>
      </c>
      <c r="E186" s="40">
        <f t="shared" si="4"/>
        <v>-0.005075069656</v>
      </c>
      <c r="F186" s="43">
        <v>7.397</v>
      </c>
      <c r="G186" s="49">
        <f t="shared" si="1"/>
        <v>0.07397</v>
      </c>
      <c r="H186" s="50">
        <f t="shared" si="2"/>
        <v>0.0001955316145</v>
      </c>
      <c r="I186" s="51">
        <f t="shared" si="5"/>
        <v>0.002879377821</v>
      </c>
    </row>
    <row r="187">
      <c r="A187" s="7">
        <v>43496.0</v>
      </c>
      <c r="B187" s="11">
        <v>107.3712</v>
      </c>
      <c r="C187" s="65">
        <f t="shared" si="3"/>
        <v>0.0002012117418</v>
      </c>
      <c r="D187" s="42">
        <v>11278.9</v>
      </c>
      <c r="E187" s="40">
        <f t="shared" si="4"/>
        <v>-0.002026225911</v>
      </c>
      <c r="F187" s="43">
        <v>7.413</v>
      </c>
      <c r="G187" s="49">
        <f t="shared" si="1"/>
        <v>0.07413</v>
      </c>
      <c r="H187" s="50">
        <f t="shared" si="2"/>
        <v>0.0001959398282</v>
      </c>
      <c r="I187" s="51">
        <f t="shared" si="5"/>
        <v>0.002087712214</v>
      </c>
    </row>
    <row r="188">
      <c r="A188" s="13">
        <v>43497.0</v>
      </c>
      <c r="B188" s="11">
        <v>107.3917</v>
      </c>
      <c r="C188" s="65">
        <f t="shared" si="3"/>
        <v>0.0001909264309</v>
      </c>
      <c r="D188" s="42">
        <v>11148.2</v>
      </c>
      <c r="E188" s="40">
        <f t="shared" si="4"/>
        <v>-0.01158800947</v>
      </c>
      <c r="F188" s="43">
        <v>7.388</v>
      </c>
      <c r="G188" s="49">
        <f t="shared" si="1"/>
        <v>0.07388</v>
      </c>
      <c r="H188" s="50">
        <f t="shared" si="2"/>
        <v>0.0001953019676</v>
      </c>
      <c r="I188" s="51">
        <f t="shared" si="5"/>
        <v>-0.003255390327</v>
      </c>
    </row>
    <row r="189">
      <c r="A189" s="13">
        <v>43498.0</v>
      </c>
      <c r="B189" s="11">
        <v>107.4135</v>
      </c>
      <c r="C189" s="65">
        <f t="shared" si="3"/>
        <v>0.0002029952035</v>
      </c>
      <c r="D189" s="42">
        <v>11222.05</v>
      </c>
      <c r="E189" s="40">
        <f t="shared" si="4"/>
        <v>0.006624387794</v>
      </c>
      <c r="F189" s="43">
        <v>7.378</v>
      </c>
      <c r="G189" s="49">
        <f t="shared" si="1"/>
        <v>0.07378</v>
      </c>
      <c r="H189" s="50">
        <f t="shared" si="2"/>
        <v>0.0001950467819</v>
      </c>
      <c r="I189" s="51">
        <f t="shared" si="5"/>
        <v>-0.001306621317</v>
      </c>
    </row>
    <row r="190">
      <c r="A190" s="13">
        <v>43499.0</v>
      </c>
      <c r="B190" s="11">
        <v>107.4354</v>
      </c>
      <c r="C190" s="65">
        <f t="shared" si="3"/>
        <v>0.0002038849865</v>
      </c>
      <c r="D190" s="42">
        <v>11157.0</v>
      </c>
      <c r="E190" s="40">
        <f t="shared" si="4"/>
        <v>-0.005796623612</v>
      </c>
      <c r="F190" s="43">
        <v>7.379</v>
      </c>
      <c r="G190" s="49">
        <f t="shared" si="1"/>
        <v>0.07379</v>
      </c>
      <c r="H190" s="50">
        <f t="shared" si="2"/>
        <v>0.0001950723015</v>
      </c>
      <c r="I190" s="51">
        <f t="shared" si="5"/>
        <v>0.000130838548</v>
      </c>
    </row>
    <row r="191">
      <c r="A191" s="13">
        <v>43500.0</v>
      </c>
      <c r="B191" s="11">
        <v>107.4568</v>
      </c>
      <c r="C191" s="65">
        <f t="shared" si="3"/>
        <v>0.0001991894664</v>
      </c>
      <c r="D191" s="42">
        <v>11257.1</v>
      </c>
      <c r="E191" s="40">
        <f t="shared" si="4"/>
        <v>0.008971945864</v>
      </c>
      <c r="F191" s="43">
        <v>7.377</v>
      </c>
      <c r="G191" s="49">
        <f t="shared" si="1"/>
        <v>0.07377</v>
      </c>
      <c r="H191" s="50">
        <f t="shared" si="2"/>
        <v>0.000195021262</v>
      </c>
      <c r="I191" s="51">
        <f t="shared" si="5"/>
        <v>-0.0002616440788</v>
      </c>
    </row>
    <row r="192">
      <c r="A192" s="13">
        <v>43501.0</v>
      </c>
      <c r="B192" s="11">
        <v>107.4786</v>
      </c>
      <c r="C192" s="65">
        <f t="shared" si="3"/>
        <v>0.000202872224</v>
      </c>
      <c r="D192" s="42">
        <v>11407.15</v>
      </c>
      <c r="E192" s="40">
        <f t="shared" si="4"/>
        <v>0.01332936547</v>
      </c>
      <c r="F192" s="43">
        <v>7.362</v>
      </c>
      <c r="G192" s="49">
        <f t="shared" si="1"/>
        <v>0.07362</v>
      </c>
      <c r="H192" s="50">
        <f t="shared" si="2"/>
        <v>0.0001946384354</v>
      </c>
      <c r="I192" s="51">
        <f t="shared" si="5"/>
        <v>-0.001962999132</v>
      </c>
    </row>
    <row r="193">
      <c r="A193" s="13">
        <v>43502.0</v>
      </c>
      <c r="B193" s="11">
        <v>107.5005</v>
      </c>
      <c r="C193" s="65">
        <f t="shared" si="3"/>
        <v>0.000203761493</v>
      </c>
      <c r="D193" s="42">
        <v>11828.25</v>
      </c>
      <c r="E193" s="40">
        <f t="shared" si="4"/>
        <v>0.03691544338</v>
      </c>
      <c r="F193" s="43">
        <v>7.286</v>
      </c>
      <c r="G193" s="49">
        <f t="shared" si="1"/>
        <v>0.07286</v>
      </c>
      <c r="H193" s="50">
        <f t="shared" si="2"/>
        <v>0.0001926979607</v>
      </c>
      <c r="I193" s="51">
        <f t="shared" si="5"/>
        <v>-0.009969638048</v>
      </c>
    </row>
    <row r="194">
      <c r="A194" s="13">
        <v>43503.0</v>
      </c>
      <c r="B194" s="11">
        <v>107.5246</v>
      </c>
      <c r="C194" s="65">
        <f t="shared" si="3"/>
        <v>0.0002241850038</v>
      </c>
      <c r="D194" s="42">
        <v>11709.1</v>
      </c>
      <c r="E194" s="40">
        <f t="shared" si="4"/>
        <v>-0.01007334136</v>
      </c>
      <c r="F194" s="43">
        <v>7.303</v>
      </c>
      <c r="G194" s="49">
        <f t="shared" si="1"/>
        <v>0.07303</v>
      </c>
      <c r="H194" s="50">
        <f t="shared" si="2"/>
        <v>0.0001931321332</v>
      </c>
      <c r="I194" s="51">
        <f t="shared" si="5"/>
        <v>0.002253124826</v>
      </c>
    </row>
    <row r="195">
      <c r="A195" s="13">
        <v>43504.0</v>
      </c>
      <c r="B195" s="11">
        <v>107.5464</v>
      </c>
      <c r="C195" s="65">
        <f t="shared" si="3"/>
        <v>0.0002027443022</v>
      </c>
      <c r="D195" s="42">
        <v>11737.9</v>
      </c>
      <c r="E195" s="40">
        <f t="shared" si="4"/>
        <v>0.00245962542</v>
      </c>
      <c r="F195" s="43">
        <v>7.26</v>
      </c>
      <c r="G195" s="49">
        <f t="shared" si="1"/>
        <v>0.0726</v>
      </c>
      <c r="H195" s="50">
        <f t="shared" si="2"/>
        <v>0.0001920337993</v>
      </c>
      <c r="I195" s="51">
        <f t="shared" si="5"/>
        <v>-0.005686955788</v>
      </c>
    </row>
    <row r="196">
      <c r="A196" s="13">
        <v>43505.0</v>
      </c>
      <c r="B196" s="11">
        <v>107.5681</v>
      </c>
      <c r="C196" s="65">
        <f t="shared" si="3"/>
        <v>0.0002017733741</v>
      </c>
      <c r="D196" s="42">
        <v>11657.05</v>
      </c>
      <c r="E196" s="40">
        <f t="shared" si="4"/>
        <v>-0.006887944181</v>
      </c>
      <c r="F196" s="43">
        <v>7.239</v>
      </c>
      <c r="G196" s="49">
        <f t="shared" si="1"/>
        <v>0.07239</v>
      </c>
      <c r="H196" s="50">
        <f t="shared" si="2"/>
        <v>0.0001914972441</v>
      </c>
      <c r="I196" s="51">
        <f t="shared" si="5"/>
        <v>-0.002794066612</v>
      </c>
    </row>
    <row r="197">
      <c r="A197" s="7">
        <v>43506.0</v>
      </c>
      <c r="B197" s="11">
        <v>107.5899</v>
      </c>
      <c r="C197" s="65">
        <f t="shared" si="3"/>
        <v>0.0002026623135</v>
      </c>
      <c r="D197" s="42">
        <v>11844.1</v>
      </c>
      <c r="E197" s="40">
        <f t="shared" si="4"/>
        <v>0.0160460837</v>
      </c>
      <c r="F197" s="43">
        <v>7.226</v>
      </c>
      <c r="G197" s="49">
        <f t="shared" si="1"/>
        <v>0.07226</v>
      </c>
      <c r="H197" s="50">
        <f t="shared" si="2"/>
        <v>0.0001911650384</v>
      </c>
      <c r="I197" s="51">
        <f t="shared" si="5"/>
        <v>-0.001734780833</v>
      </c>
    </row>
    <row r="198">
      <c r="A198" s="7">
        <v>43507.0</v>
      </c>
      <c r="B198" s="11">
        <v>107.6118</v>
      </c>
      <c r="C198" s="65">
        <f t="shared" si="3"/>
        <v>0.000203550705</v>
      </c>
      <c r="D198" s="42">
        <v>11924.75</v>
      </c>
      <c r="E198" s="40">
        <f t="shared" si="4"/>
        <v>0.006809297456</v>
      </c>
      <c r="F198" s="43">
        <v>7.167</v>
      </c>
      <c r="G198" s="49">
        <f t="shared" si="1"/>
        <v>0.07167</v>
      </c>
      <c r="H198" s="50">
        <f t="shared" si="2"/>
        <v>0.0001896568304</v>
      </c>
      <c r="I198" s="51">
        <f t="shared" si="5"/>
        <v>-0.00788955977</v>
      </c>
    </row>
    <row r="199">
      <c r="A199" s="7">
        <v>43508.0</v>
      </c>
      <c r="B199" s="11">
        <v>107.6333</v>
      </c>
      <c r="C199" s="65">
        <f t="shared" si="3"/>
        <v>0.0001997922161</v>
      </c>
      <c r="D199" s="42">
        <v>11928.75</v>
      </c>
      <c r="E199" s="40">
        <f t="shared" si="4"/>
        <v>0.0003354368016</v>
      </c>
      <c r="F199" s="43">
        <v>7.149</v>
      </c>
      <c r="G199" s="49">
        <f t="shared" si="1"/>
        <v>0.07149</v>
      </c>
      <c r="H199" s="50">
        <f t="shared" si="2"/>
        <v>0.0001891965342</v>
      </c>
      <c r="I199" s="51">
        <f t="shared" si="5"/>
        <v>-0.002426994618</v>
      </c>
    </row>
    <row r="200">
      <c r="A200" s="7">
        <v>43509.0</v>
      </c>
      <c r="B200" s="11">
        <v>107.6536</v>
      </c>
      <c r="C200" s="65">
        <f t="shared" si="3"/>
        <v>0.0001886033412</v>
      </c>
      <c r="D200" s="42">
        <v>11861.1</v>
      </c>
      <c r="E200" s="40">
        <f t="shared" si="4"/>
        <v>-0.005671172587</v>
      </c>
      <c r="F200" s="43">
        <v>7.125</v>
      </c>
      <c r="G200" s="49">
        <f t="shared" si="1"/>
        <v>0.07125</v>
      </c>
      <c r="H200" s="50">
        <f t="shared" si="2"/>
        <v>0.0001885826861</v>
      </c>
      <c r="I200" s="51">
        <f t="shared" si="5"/>
        <v>-0.003244499766</v>
      </c>
    </row>
    <row r="201">
      <c r="A201" s="7">
        <v>43510.0</v>
      </c>
      <c r="B201" s="11">
        <v>107.6754</v>
      </c>
      <c r="C201" s="65">
        <f t="shared" si="3"/>
        <v>0.0002025013562</v>
      </c>
      <c r="D201" s="42">
        <v>11945.9</v>
      </c>
      <c r="E201" s="40">
        <f t="shared" si="4"/>
        <v>0.007149421217</v>
      </c>
      <c r="F201" s="43">
        <v>7.133</v>
      </c>
      <c r="G201" s="49">
        <f t="shared" si="1"/>
        <v>0.07133</v>
      </c>
      <c r="H201" s="50">
        <f t="shared" si="2"/>
        <v>0.0001887873174</v>
      </c>
      <c r="I201" s="51">
        <f t="shared" si="5"/>
        <v>0.001085101069</v>
      </c>
    </row>
    <row r="202">
      <c r="A202" s="7">
        <v>43511.0</v>
      </c>
      <c r="B202" s="11">
        <v>107.6954</v>
      </c>
      <c r="C202" s="65">
        <f t="shared" si="3"/>
        <v>0.0001857434474</v>
      </c>
      <c r="D202" s="42">
        <v>11922.8</v>
      </c>
      <c r="E202" s="40">
        <f t="shared" si="4"/>
        <v>-0.001933717845</v>
      </c>
      <c r="F202" s="43">
        <v>7.032</v>
      </c>
      <c r="G202" s="49">
        <f t="shared" si="1"/>
        <v>0.07032</v>
      </c>
      <c r="H202" s="50">
        <f t="shared" si="2"/>
        <v>0.0001862027286</v>
      </c>
      <c r="I202" s="51">
        <f t="shared" si="5"/>
        <v>-0.01369047904</v>
      </c>
    </row>
    <row r="203">
      <c r="A203" s="7">
        <v>43512.0</v>
      </c>
      <c r="B203" s="11">
        <v>107.7173</v>
      </c>
      <c r="C203" s="65">
        <f t="shared" si="3"/>
        <v>0.0002033513038</v>
      </c>
      <c r="D203" s="42">
        <v>12088.55</v>
      </c>
      <c r="E203" s="40">
        <f t="shared" si="4"/>
        <v>0.01390193579</v>
      </c>
      <c r="F203" s="43">
        <v>6.982</v>
      </c>
      <c r="G203" s="49">
        <f t="shared" si="1"/>
        <v>0.06982</v>
      </c>
      <c r="H203" s="50">
        <f t="shared" si="2"/>
        <v>0.000184922329</v>
      </c>
      <c r="I203" s="51">
        <f t="shared" si="5"/>
        <v>-0.006876374162</v>
      </c>
    </row>
    <row r="204">
      <c r="A204" s="7">
        <v>43513.0</v>
      </c>
      <c r="B204" s="11">
        <v>107.7392</v>
      </c>
      <c r="C204" s="65">
        <f t="shared" si="3"/>
        <v>0.0002033099604</v>
      </c>
      <c r="D204" s="42">
        <v>12021.65</v>
      </c>
      <c r="E204" s="40">
        <f t="shared" si="4"/>
        <v>-0.005534162493</v>
      </c>
      <c r="F204" s="43">
        <v>7.022</v>
      </c>
      <c r="G204" s="49">
        <f t="shared" si="1"/>
        <v>0.07022</v>
      </c>
      <c r="H204" s="50">
        <f t="shared" si="2"/>
        <v>0.0001859466964</v>
      </c>
      <c r="I204" s="51">
        <f t="shared" si="5"/>
        <v>0.005539446956</v>
      </c>
    </row>
    <row r="205">
      <c r="A205" s="7">
        <v>43514.0</v>
      </c>
      <c r="B205" s="11">
        <v>107.7596</v>
      </c>
      <c r="C205" s="65">
        <f t="shared" si="3"/>
        <v>0.0001893461247</v>
      </c>
      <c r="D205" s="42">
        <v>11843.75</v>
      </c>
      <c r="E205" s="40">
        <f t="shared" si="4"/>
        <v>-0.0147983014</v>
      </c>
      <c r="F205" s="43">
        <v>6.931</v>
      </c>
      <c r="G205" s="49">
        <f t="shared" si="1"/>
        <v>0.06931</v>
      </c>
      <c r="H205" s="50">
        <f t="shared" si="2"/>
        <v>0.0001836157064</v>
      </c>
      <c r="I205" s="51">
        <f t="shared" si="5"/>
        <v>-0.01253579682</v>
      </c>
    </row>
    <row r="206">
      <c r="A206" s="7">
        <v>43515.0</v>
      </c>
      <c r="B206" s="11">
        <v>107.7813</v>
      </c>
      <c r="C206" s="65">
        <f t="shared" si="3"/>
        <v>0.0002013741699</v>
      </c>
      <c r="D206" s="42">
        <v>11870.65</v>
      </c>
      <c r="E206" s="40">
        <f t="shared" si="4"/>
        <v>0.002271240106</v>
      </c>
      <c r="F206" s="43">
        <v>6.974</v>
      </c>
      <c r="G206" s="49">
        <f t="shared" si="1"/>
        <v>0.06974</v>
      </c>
      <c r="H206" s="50">
        <f t="shared" si="2"/>
        <v>0.0001847174096</v>
      </c>
      <c r="I206" s="51">
        <f t="shared" si="5"/>
        <v>0.006000049092</v>
      </c>
    </row>
    <row r="207">
      <c r="A207" s="7">
        <v>43516.0</v>
      </c>
      <c r="B207" s="11">
        <v>107.8024</v>
      </c>
      <c r="C207" s="65">
        <f t="shared" si="3"/>
        <v>0.0001957667981</v>
      </c>
      <c r="D207" s="42">
        <v>11922.7</v>
      </c>
      <c r="E207" s="40">
        <f t="shared" si="4"/>
        <v>0.004384764103</v>
      </c>
      <c r="F207" s="43">
        <v>7.077</v>
      </c>
      <c r="G207" s="49">
        <f t="shared" si="1"/>
        <v>0.07077</v>
      </c>
      <c r="H207" s="50">
        <f t="shared" si="2"/>
        <v>0.0001873545784</v>
      </c>
      <c r="I207" s="51">
        <f t="shared" si="5"/>
        <v>0.01427677403</v>
      </c>
    </row>
    <row r="208">
      <c r="A208" s="7">
        <v>43517.0</v>
      </c>
      <c r="B208" s="11">
        <v>107.8237</v>
      </c>
      <c r="C208" s="65">
        <f t="shared" si="3"/>
        <v>0.0001975837273</v>
      </c>
      <c r="D208" s="42">
        <v>11965.6</v>
      </c>
      <c r="E208" s="40">
        <f t="shared" si="4"/>
        <v>0.003598178265</v>
      </c>
      <c r="F208" s="43">
        <v>7.037</v>
      </c>
      <c r="G208" s="49">
        <f t="shared" si="1"/>
        <v>0.07037</v>
      </c>
      <c r="H208" s="50">
        <f t="shared" si="2"/>
        <v>0.0001863307358</v>
      </c>
      <c r="I208" s="51">
        <f t="shared" si="5"/>
        <v>-0.005464732267</v>
      </c>
    </row>
    <row r="209">
      <c r="A209" s="7">
        <v>43518.0</v>
      </c>
      <c r="B209" s="11">
        <v>107.8448</v>
      </c>
      <c r="C209" s="65">
        <f t="shared" si="3"/>
        <v>0.0001956898159</v>
      </c>
      <c r="D209" s="42">
        <v>11906.2</v>
      </c>
      <c r="E209" s="40">
        <f t="shared" si="4"/>
        <v>-0.004964230795</v>
      </c>
      <c r="F209" s="43">
        <v>7.012</v>
      </c>
      <c r="G209" s="49">
        <f t="shared" si="1"/>
        <v>0.07012</v>
      </c>
      <c r="H209" s="50">
        <f t="shared" si="2"/>
        <v>0.0001856906403</v>
      </c>
      <c r="I209" s="51">
        <f t="shared" si="5"/>
        <v>-0.003435264771</v>
      </c>
    </row>
    <row r="210">
      <c r="A210" s="7">
        <v>43519.0</v>
      </c>
      <c r="B210" s="11">
        <v>107.3161</v>
      </c>
      <c r="C210" s="65">
        <f t="shared" si="3"/>
        <v>-0.004902415323</v>
      </c>
      <c r="D210" s="42">
        <v>11914.05</v>
      </c>
      <c r="E210" s="40">
        <f t="shared" si="4"/>
        <v>0.0006593203541</v>
      </c>
      <c r="F210" s="43">
        <v>7.009</v>
      </c>
      <c r="G210" s="49">
        <f t="shared" si="1"/>
        <v>0.07009</v>
      </c>
      <c r="H210" s="50">
        <f t="shared" si="2"/>
        <v>0.0001856138189</v>
      </c>
      <c r="I210" s="51">
        <f t="shared" si="5"/>
        <v>-0.0004137067469</v>
      </c>
    </row>
    <row r="211">
      <c r="A211" s="7">
        <v>43520.0</v>
      </c>
      <c r="B211" s="11">
        <v>107.3373</v>
      </c>
      <c r="C211" s="65">
        <f t="shared" si="3"/>
        <v>0.0001975472459</v>
      </c>
      <c r="D211" s="42">
        <v>11823.3</v>
      </c>
      <c r="E211" s="40">
        <f t="shared" si="4"/>
        <v>-0.007617057172</v>
      </c>
      <c r="F211" s="43">
        <v>6.919</v>
      </c>
      <c r="G211" s="49">
        <f t="shared" si="1"/>
        <v>0.06919</v>
      </c>
      <c r="H211" s="50">
        <f t="shared" si="2"/>
        <v>0.0001833081755</v>
      </c>
      <c r="I211" s="51">
        <f t="shared" si="5"/>
        <v>-0.01242172276</v>
      </c>
    </row>
    <row r="212">
      <c r="A212" s="7">
        <v>43521.0</v>
      </c>
      <c r="B212" s="11">
        <v>107.3592</v>
      </c>
      <c r="C212" s="65">
        <f t="shared" si="3"/>
        <v>0.0002040297269</v>
      </c>
      <c r="D212" s="42">
        <v>11672.15</v>
      </c>
      <c r="E212" s="40">
        <f t="shared" si="4"/>
        <v>-0.0127840789</v>
      </c>
      <c r="F212" s="43">
        <v>6.931</v>
      </c>
      <c r="G212" s="49">
        <f t="shared" si="1"/>
        <v>0.06931</v>
      </c>
      <c r="H212" s="50">
        <f t="shared" si="2"/>
        <v>0.0001836157064</v>
      </c>
      <c r="I212" s="51">
        <f t="shared" si="5"/>
        <v>0.001677671618</v>
      </c>
    </row>
    <row r="213">
      <c r="A213" s="7">
        <v>43522.0</v>
      </c>
      <c r="B213" s="11">
        <v>107.3806</v>
      </c>
      <c r="C213" s="65">
        <f t="shared" si="3"/>
        <v>0.0001993308445</v>
      </c>
      <c r="D213" s="42">
        <v>11691.5</v>
      </c>
      <c r="E213" s="40">
        <f t="shared" si="4"/>
        <v>0.001657792266</v>
      </c>
      <c r="F213" s="43">
        <v>6.808</v>
      </c>
      <c r="G213" s="49">
        <f t="shared" si="1"/>
        <v>0.06808</v>
      </c>
      <c r="H213" s="50">
        <f t="shared" si="2"/>
        <v>0.0001804618816</v>
      </c>
      <c r="I213" s="51">
        <f t="shared" si="5"/>
        <v>-0.01717622581</v>
      </c>
    </row>
    <row r="214">
      <c r="A214" s="7">
        <v>43523.0</v>
      </c>
      <c r="B214" s="11">
        <v>107.4018</v>
      </c>
      <c r="C214" s="65">
        <f t="shared" si="3"/>
        <v>0.0001974285858</v>
      </c>
      <c r="D214" s="42">
        <v>11691.45</v>
      </c>
      <c r="E214" s="40">
        <f t="shared" si="4"/>
        <v>-0.000004276611213</v>
      </c>
      <c r="F214" s="43">
        <v>6.841</v>
      </c>
      <c r="G214" s="49">
        <f t="shared" si="1"/>
        <v>0.06841</v>
      </c>
      <c r="H214" s="50">
        <f t="shared" si="2"/>
        <v>0.0001813083851</v>
      </c>
      <c r="I214" s="51">
        <f t="shared" si="5"/>
        <v>0.004690760715</v>
      </c>
    </row>
    <row r="215">
      <c r="A215" s="7">
        <v>43524.0</v>
      </c>
      <c r="B215" s="11">
        <v>107.4224</v>
      </c>
      <c r="C215" s="65">
        <f t="shared" si="3"/>
        <v>0.0001918031169</v>
      </c>
      <c r="D215" s="42">
        <v>11831.75</v>
      </c>
      <c r="E215" s="40">
        <f t="shared" si="4"/>
        <v>0.01200022238</v>
      </c>
      <c r="F215" s="43">
        <v>6.791</v>
      </c>
      <c r="G215" s="49">
        <f t="shared" si="1"/>
        <v>0.06791</v>
      </c>
      <c r="H215" s="50">
        <f t="shared" si="2"/>
        <v>0.0001800257022</v>
      </c>
      <c r="I215" s="51">
        <f t="shared" si="5"/>
        <v>-0.007074592074</v>
      </c>
    </row>
    <row r="216">
      <c r="A216" s="13">
        <v>43525.0</v>
      </c>
      <c r="B216" s="11">
        <v>107.4427</v>
      </c>
      <c r="C216" s="65">
        <f t="shared" si="3"/>
        <v>0.0001889736219</v>
      </c>
      <c r="D216" s="42">
        <v>11724.1</v>
      </c>
      <c r="E216" s="40">
        <f t="shared" si="4"/>
        <v>-0.00909840049</v>
      </c>
      <c r="F216" s="43">
        <v>6.861</v>
      </c>
      <c r="G216" s="49">
        <f t="shared" si="1"/>
        <v>0.06861</v>
      </c>
      <c r="H216" s="50">
        <f t="shared" si="2"/>
        <v>0.0001818212906</v>
      </c>
      <c r="I216" s="51">
        <f t="shared" si="5"/>
        <v>0.009974066915</v>
      </c>
    </row>
    <row r="217">
      <c r="A217" s="13">
        <v>43526.0</v>
      </c>
      <c r="B217" s="11">
        <v>107.4635</v>
      </c>
      <c r="C217" s="65">
        <f t="shared" si="3"/>
        <v>0.0001935915609</v>
      </c>
      <c r="D217" s="42">
        <v>11699.65</v>
      </c>
      <c r="E217" s="40">
        <f t="shared" si="4"/>
        <v>-0.002085447924</v>
      </c>
      <c r="F217" s="43">
        <v>6.851</v>
      </c>
      <c r="G217" s="49">
        <f t="shared" si="1"/>
        <v>0.06851</v>
      </c>
      <c r="H217" s="50">
        <f t="shared" si="2"/>
        <v>0.0001815648498</v>
      </c>
      <c r="I217" s="51">
        <f t="shared" si="5"/>
        <v>-0.001410400288</v>
      </c>
    </row>
    <row r="218">
      <c r="A218" s="13">
        <v>43527.0</v>
      </c>
      <c r="B218" s="11">
        <v>107.4842</v>
      </c>
      <c r="C218" s="65">
        <f t="shared" si="3"/>
        <v>0.0001926235419</v>
      </c>
      <c r="D218" s="42">
        <v>11796.45</v>
      </c>
      <c r="E218" s="40">
        <f t="shared" si="4"/>
        <v>0.008273751779</v>
      </c>
      <c r="F218" s="43">
        <v>6.882</v>
      </c>
      <c r="G218" s="49">
        <f t="shared" si="1"/>
        <v>0.06882</v>
      </c>
      <c r="H218" s="50">
        <f t="shared" si="2"/>
        <v>0.0001823597384</v>
      </c>
      <c r="I218" s="51">
        <f t="shared" si="5"/>
        <v>0.004377987224</v>
      </c>
    </row>
    <row r="219">
      <c r="A219" s="13">
        <v>43528.0</v>
      </c>
      <c r="B219" s="11">
        <v>107.505</v>
      </c>
      <c r="C219" s="65">
        <f t="shared" si="3"/>
        <v>0.0001935168146</v>
      </c>
      <c r="D219" s="42">
        <v>11847.55</v>
      </c>
      <c r="E219" s="40">
        <f t="shared" si="4"/>
        <v>0.004331811689</v>
      </c>
      <c r="F219" s="43">
        <v>6.933</v>
      </c>
      <c r="G219" s="49">
        <f t="shared" si="1"/>
        <v>0.06933</v>
      </c>
      <c r="H219" s="50">
        <f t="shared" si="2"/>
        <v>0.0001836669582</v>
      </c>
      <c r="I219" s="51">
        <f t="shared" si="5"/>
        <v>0.00716835756</v>
      </c>
    </row>
    <row r="220">
      <c r="A220" s="13">
        <v>43529.0</v>
      </c>
      <c r="B220" s="11">
        <v>107.5269</v>
      </c>
      <c r="C220" s="65">
        <f t="shared" si="3"/>
        <v>0.0002037114553</v>
      </c>
      <c r="D220" s="42">
        <v>11841.55</v>
      </c>
      <c r="E220" s="40">
        <f t="shared" si="4"/>
        <v>-0.0005064338197</v>
      </c>
      <c r="F220" s="43">
        <v>6.897</v>
      </c>
      <c r="G220" s="49">
        <f t="shared" si="1"/>
        <v>0.06897</v>
      </c>
      <c r="H220" s="50">
        <f t="shared" si="2"/>
        <v>0.0001827442794</v>
      </c>
      <c r="I220" s="51">
        <f t="shared" si="5"/>
        <v>-0.005023651738</v>
      </c>
    </row>
    <row r="221">
      <c r="A221" s="13">
        <v>43612.0</v>
      </c>
      <c r="B221" s="11">
        <v>107.5481</v>
      </c>
      <c r="C221" s="65">
        <f t="shared" si="3"/>
        <v>0.0001971599665</v>
      </c>
      <c r="D221" s="42">
        <v>11788.85</v>
      </c>
      <c r="E221" s="40">
        <f t="shared" si="4"/>
        <v>-0.004450430898</v>
      </c>
      <c r="F221" s="43">
        <v>6.879</v>
      </c>
      <c r="G221" s="49">
        <f t="shared" si="1"/>
        <v>0.06879</v>
      </c>
      <c r="H221" s="50">
        <f t="shared" si="2"/>
        <v>0.0001822828237</v>
      </c>
      <c r="I221" s="51">
        <f t="shared" si="5"/>
        <v>-0.002525144046</v>
      </c>
    </row>
    <row r="222">
      <c r="A222" s="13">
        <v>43613.0</v>
      </c>
      <c r="B222" s="11">
        <v>107.5685</v>
      </c>
      <c r="C222" s="65">
        <f t="shared" si="3"/>
        <v>0.0001896825699</v>
      </c>
      <c r="D222" s="42">
        <v>11865.6</v>
      </c>
      <c r="E222" s="40">
        <f t="shared" si="4"/>
        <v>0.006510389054</v>
      </c>
      <c r="F222" s="43">
        <v>6.882</v>
      </c>
      <c r="G222" s="49">
        <f t="shared" si="1"/>
        <v>0.06882</v>
      </c>
      <c r="H222" s="50">
        <f t="shared" si="2"/>
        <v>0.0001823597384</v>
      </c>
      <c r="I222" s="51">
        <f t="shared" si="5"/>
        <v>0.0004219522825</v>
      </c>
    </row>
    <row r="223">
      <c r="A223" s="13">
        <v>43614.0</v>
      </c>
      <c r="B223" s="11">
        <v>107.5872</v>
      </c>
      <c r="C223" s="65">
        <f t="shared" si="3"/>
        <v>0.0001738427142</v>
      </c>
      <c r="D223" s="42">
        <v>11910.3</v>
      </c>
      <c r="E223" s="40">
        <f t="shared" si="4"/>
        <v>0.003767192557</v>
      </c>
      <c r="F223" s="43">
        <v>6.846</v>
      </c>
      <c r="G223" s="49">
        <f t="shared" si="1"/>
        <v>0.06846</v>
      </c>
      <c r="H223" s="50">
        <f t="shared" si="2"/>
        <v>0.0001814366204</v>
      </c>
      <c r="I223" s="51">
        <f t="shared" si="5"/>
        <v>-0.005062071137</v>
      </c>
    </row>
    <row r="224">
      <c r="A224" s="13">
        <v>43615.0</v>
      </c>
      <c r="B224" s="11">
        <v>107.6092</v>
      </c>
      <c r="C224" s="65">
        <f t="shared" si="3"/>
        <v>0.0002044852919</v>
      </c>
      <c r="D224" s="42">
        <v>11916.75</v>
      </c>
      <c r="E224" s="40">
        <f t="shared" si="4"/>
        <v>0.0005415480718</v>
      </c>
      <c r="F224" s="43">
        <v>6.833</v>
      </c>
      <c r="G224" s="49">
        <f t="shared" si="1"/>
        <v>0.06833</v>
      </c>
      <c r="H224" s="50">
        <f t="shared" si="2"/>
        <v>0.000181103196</v>
      </c>
      <c r="I224" s="51">
        <f t="shared" si="5"/>
        <v>-0.001837690674</v>
      </c>
    </row>
    <row r="225">
      <c r="A225" s="7">
        <v>43616.0</v>
      </c>
      <c r="B225" s="11">
        <v>107.6312</v>
      </c>
      <c r="C225" s="65">
        <f t="shared" si="3"/>
        <v>0.0002044434862</v>
      </c>
      <c r="D225" s="42">
        <v>11946.75</v>
      </c>
      <c r="E225" s="40">
        <f t="shared" si="4"/>
        <v>0.002517464913</v>
      </c>
      <c r="F225" s="43">
        <v>6.751</v>
      </c>
      <c r="G225" s="49">
        <f t="shared" si="1"/>
        <v>0.06751</v>
      </c>
      <c r="H225" s="50">
        <f t="shared" si="2"/>
        <v>0.0001789991246</v>
      </c>
      <c r="I225" s="51">
        <f t="shared" si="5"/>
        <v>-0.01161808</v>
      </c>
    </row>
    <row r="226">
      <c r="A226" s="7">
        <v>43617.0</v>
      </c>
      <c r="B226" s="11">
        <v>107.6525</v>
      </c>
      <c r="C226" s="65">
        <f t="shared" si="3"/>
        <v>0.0001978980073</v>
      </c>
      <c r="D226" s="42">
        <v>11811.15</v>
      </c>
      <c r="E226" s="40">
        <f t="shared" si="4"/>
        <v>-0.01135036725</v>
      </c>
      <c r="F226" s="43">
        <v>6.695</v>
      </c>
      <c r="G226" s="49">
        <f t="shared" si="1"/>
        <v>0.06695</v>
      </c>
      <c r="H226" s="50">
        <f t="shared" si="2"/>
        <v>0.0001775612714</v>
      </c>
      <c r="I226" s="51">
        <f t="shared" si="5"/>
        <v>-0.008032739069</v>
      </c>
    </row>
    <row r="227">
      <c r="A227" s="7">
        <v>43618.0</v>
      </c>
      <c r="B227" s="11">
        <v>107.6749</v>
      </c>
      <c r="C227" s="65">
        <f t="shared" si="3"/>
        <v>0.0002080769141</v>
      </c>
      <c r="D227" s="42">
        <v>11558.6</v>
      </c>
      <c r="E227" s="40">
        <f t="shared" si="4"/>
        <v>-0.02138233788</v>
      </c>
      <c r="F227" s="43">
        <v>6.562</v>
      </c>
      <c r="G227" s="49">
        <f t="shared" si="1"/>
        <v>0.06562</v>
      </c>
      <c r="H227" s="50">
        <f t="shared" si="2"/>
        <v>0.0001741433513</v>
      </c>
      <c r="I227" s="51">
        <f t="shared" si="5"/>
        <v>-0.01924924287</v>
      </c>
    </row>
    <row r="228">
      <c r="A228" s="7">
        <v>43619.0</v>
      </c>
      <c r="B228" s="11">
        <v>107.6978</v>
      </c>
      <c r="C228" s="65">
        <f t="shared" si="3"/>
        <v>0.0002126772349</v>
      </c>
      <c r="D228" s="42">
        <v>11555.9</v>
      </c>
      <c r="E228" s="40">
        <f t="shared" si="4"/>
        <v>-0.0002335923036</v>
      </c>
      <c r="F228" s="43">
        <v>6.588</v>
      </c>
      <c r="G228" s="49">
        <f t="shared" si="1"/>
        <v>0.06588</v>
      </c>
      <c r="H228" s="50">
        <f t="shared" si="2"/>
        <v>0.0001748118506</v>
      </c>
      <c r="I228" s="51">
        <f t="shared" si="5"/>
        <v>0.003838786992</v>
      </c>
    </row>
    <row r="229">
      <c r="A229" s="7">
        <v>43620.0</v>
      </c>
      <c r="B229" s="11">
        <v>107.7221</v>
      </c>
      <c r="C229" s="65">
        <f t="shared" si="3"/>
        <v>0.0002256313499</v>
      </c>
      <c r="D229" s="42">
        <v>11498.9</v>
      </c>
      <c r="E229" s="40">
        <f t="shared" si="4"/>
        <v>-0.00493254528</v>
      </c>
      <c r="F229" s="43">
        <v>6.543</v>
      </c>
      <c r="G229" s="49">
        <f t="shared" si="1"/>
        <v>0.06543</v>
      </c>
      <c r="H229" s="50">
        <f t="shared" si="2"/>
        <v>0.0001736547298</v>
      </c>
      <c r="I229" s="51">
        <f t="shared" si="5"/>
        <v>-0.006619235314</v>
      </c>
    </row>
    <row r="230">
      <c r="A230" s="7">
        <v>43621.0</v>
      </c>
      <c r="B230" s="11">
        <v>107.7393</v>
      </c>
      <c r="C230" s="65">
        <f t="shared" si="3"/>
        <v>0.0001596701141</v>
      </c>
      <c r="D230" s="42">
        <v>11582.9</v>
      </c>
      <c r="E230" s="40">
        <f t="shared" si="4"/>
        <v>0.00730504657</v>
      </c>
      <c r="F230" s="43">
        <v>6.493</v>
      </c>
      <c r="G230" s="49">
        <f t="shared" si="1"/>
        <v>0.06493</v>
      </c>
      <c r="H230" s="50">
        <f t="shared" si="2"/>
        <v>0.0001723684683</v>
      </c>
      <c r="I230" s="51">
        <f t="shared" si="5"/>
        <v>-0.007407005366</v>
      </c>
    </row>
    <row r="231">
      <c r="A231" s="7">
        <v>43622.0</v>
      </c>
      <c r="B231" s="11">
        <v>107.7613</v>
      </c>
      <c r="C231" s="65">
        <f t="shared" si="3"/>
        <v>0.0002041966116</v>
      </c>
      <c r="D231" s="42">
        <v>11552.5</v>
      </c>
      <c r="E231" s="40">
        <f t="shared" si="4"/>
        <v>-0.002624558617</v>
      </c>
      <c r="F231" s="43">
        <v>6.488</v>
      </c>
      <c r="G231" s="49">
        <f t="shared" si="1"/>
        <v>0.06488</v>
      </c>
      <c r="H231" s="50">
        <f t="shared" si="2"/>
        <v>0.000172239809</v>
      </c>
      <c r="I231" s="51">
        <f t="shared" si="5"/>
        <v>-0.0007464200144</v>
      </c>
    </row>
    <row r="232">
      <c r="A232" s="7">
        <v>43623.0</v>
      </c>
      <c r="B232" s="11">
        <v>107.7833</v>
      </c>
      <c r="C232" s="65">
        <f t="shared" si="3"/>
        <v>0.0002041549239</v>
      </c>
      <c r="D232" s="42">
        <v>11588.35</v>
      </c>
      <c r="E232" s="40">
        <f t="shared" si="4"/>
        <v>0.00310322441</v>
      </c>
      <c r="F232" s="43">
        <v>6.433</v>
      </c>
      <c r="G232" s="49">
        <f t="shared" si="1"/>
        <v>0.06433</v>
      </c>
      <c r="H232" s="50">
        <f t="shared" si="2"/>
        <v>0.0001708241592</v>
      </c>
      <c r="I232" s="51">
        <f t="shared" si="5"/>
        <v>-0.008219062576</v>
      </c>
    </row>
    <row r="233">
      <c r="A233" s="7">
        <v>43624.0</v>
      </c>
      <c r="B233" s="11">
        <v>107.8047</v>
      </c>
      <c r="C233" s="65">
        <f t="shared" si="3"/>
        <v>0.0001985465281</v>
      </c>
      <c r="D233" s="42">
        <v>11662.6</v>
      </c>
      <c r="E233" s="40">
        <f t="shared" si="4"/>
        <v>0.006407296984</v>
      </c>
      <c r="F233" s="43">
        <v>6.331</v>
      </c>
      <c r="G233" s="49">
        <f t="shared" si="1"/>
        <v>0.06331</v>
      </c>
      <c r="H233" s="50">
        <f t="shared" si="2"/>
        <v>0.0001681968403</v>
      </c>
      <c r="I233" s="51">
        <f t="shared" si="5"/>
        <v>-0.01538025405</v>
      </c>
    </row>
    <row r="234">
      <c r="A234" s="7">
        <v>43667.0</v>
      </c>
      <c r="B234" s="11">
        <v>107.8261</v>
      </c>
      <c r="C234" s="65">
        <f t="shared" si="3"/>
        <v>0.0001985071152</v>
      </c>
      <c r="D234" s="42">
        <v>11687.5</v>
      </c>
      <c r="E234" s="40">
        <f t="shared" si="4"/>
        <v>0.002135029925</v>
      </c>
      <c r="F234" s="43">
        <v>6.345</v>
      </c>
      <c r="G234" s="49">
        <f t="shared" si="1"/>
        <v>0.06345</v>
      </c>
      <c r="H234" s="50">
        <f t="shared" si="2"/>
        <v>0.0001685576014</v>
      </c>
      <c r="I234" s="51">
        <f t="shared" si="5"/>
        <v>0.002144874916</v>
      </c>
    </row>
    <row r="235">
      <c r="A235" s="7">
        <v>43668.0</v>
      </c>
      <c r="B235" s="11">
        <v>107.8467</v>
      </c>
      <c r="C235" s="65">
        <f t="shared" si="3"/>
        <v>0.000191048364</v>
      </c>
      <c r="D235" s="42">
        <v>11596.9</v>
      </c>
      <c r="E235" s="40">
        <f t="shared" si="4"/>
        <v>-0.007751871658</v>
      </c>
      <c r="F235" s="43">
        <v>6.387</v>
      </c>
      <c r="G235" s="49">
        <f t="shared" si="1"/>
        <v>0.06387</v>
      </c>
      <c r="H235" s="50">
        <f t="shared" si="2"/>
        <v>0.0001696396009</v>
      </c>
      <c r="I235" s="51">
        <f t="shared" si="5"/>
        <v>0.006419167289</v>
      </c>
    </row>
    <row r="236">
      <c r="A236" s="7">
        <v>43669.0</v>
      </c>
      <c r="B236" s="11">
        <v>107.8672</v>
      </c>
      <c r="C236" s="65">
        <f t="shared" si="3"/>
        <v>0.0001900846294</v>
      </c>
      <c r="D236" s="42">
        <v>11419.25</v>
      </c>
      <c r="E236" s="40">
        <f t="shared" si="4"/>
        <v>-0.01531874898</v>
      </c>
      <c r="F236" s="43">
        <v>6.361</v>
      </c>
      <c r="G236" s="49">
        <f t="shared" si="1"/>
        <v>0.06361</v>
      </c>
      <c r="H236" s="50">
        <f t="shared" si="2"/>
        <v>0.0001689698419</v>
      </c>
      <c r="I236" s="51">
        <f t="shared" si="5"/>
        <v>-0.003948128463</v>
      </c>
    </row>
    <row r="237">
      <c r="A237" s="7">
        <v>43670.0</v>
      </c>
      <c r="B237" s="11">
        <v>107.8859</v>
      </c>
      <c r="C237" s="65">
        <f t="shared" si="3"/>
        <v>0.0001733613184</v>
      </c>
      <c r="D237" s="42">
        <v>11346.2</v>
      </c>
      <c r="E237" s="40">
        <f t="shared" si="4"/>
        <v>-0.006397092629</v>
      </c>
      <c r="F237" s="43">
        <v>6.418</v>
      </c>
      <c r="G237" s="49">
        <f t="shared" si="1"/>
        <v>0.06418</v>
      </c>
      <c r="H237" s="50">
        <f t="shared" si="2"/>
        <v>0.0001704379463</v>
      </c>
      <c r="I237" s="51">
        <f t="shared" si="5"/>
        <v>0.008688558532</v>
      </c>
    </row>
    <row r="238">
      <c r="A238" s="7">
        <v>43671.0</v>
      </c>
      <c r="B238" s="11">
        <v>107.9071</v>
      </c>
      <c r="C238" s="65">
        <f t="shared" si="3"/>
        <v>0.000196503899</v>
      </c>
      <c r="D238" s="42">
        <v>11331.05</v>
      </c>
      <c r="E238" s="40">
        <f t="shared" si="4"/>
        <v>-0.001335248806</v>
      </c>
      <c r="F238" s="43">
        <v>6.464</v>
      </c>
      <c r="G238" s="49">
        <f t="shared" si="1"/>
        <v>0.06464</v>
      </c>
      <c r="H238" s="50">
        <f t="shared" si="2"/>
        <v>0.0001716221606</v>
      </c>
      <c r="I238" s="51">
        <f t="shared" si="5"/>
        <v>0.00694806714</v>
      </c>
    </row>
    <row r="239">
      <c r="A239" s="7">
        <v>43672.0</v>
      </c>
      <c r="B239" s="11">
        <v>107.9289</v>
      </c>
      <c r="C239" s="65">
        <f t="shared" si="3"/>
        <v>0.0002020256313</v>
      </c>
      <c r="D239" s="42">
        <v>11271.3</v>
      </c>
      <c r="E239" s="40">
        <f t="shared" si="4"/>
        <v>-0.005273121202</v>
      </c>
      <c r="F239" s="43">
        <v>6.438</v>
      </c>
      <c r="G239" s="49">
        <f t="shared" si="1"/>
        <v>0.06438</v>
      </c>
      <c r="H239" s="50">
        <f t="shared" si="2"/>
        <v>0.0001709528848</v>
      </c>
      <c r="I239" s="51">
        <f t="shared" si="5"/>
        <v>-0.003899705023</v>
      </c>
    </row>
    <row r="240">
      <c r="A240" s="7">
        <v>43673.0</v>
      </c>
      <c r="B240" s="11">
        <v>107.9496</v>
      </c>
      <c r="C240" s="65">
        <f t="shared" si="3"/>
        <v>0.0001917929303</v>
      </c>
      <c r="D240" s="42">
        <v>11252.15</v>
      </c>
      <c r="E240" s="40">
        <f t="shared" si="4"/>
        <v>-0.001699005439</v>
      </c>
      <c r="F240" s="43">
        <v>6.514</v>
      </c>
      <c r="G240" s="49">
        <f t="shared" si="1"/>
        <v>0.06514</v>
      </c>
      <c r="H240" s="50">
        <f t="shared" si="2"/>
        <v>0.0001729087714</v>
      </c>
      <c r="I240" s="51">
        <f t="shared" si="5"/>
        <v>0.01144108592</v>
      </c>
    </row>
    <row r="241">
      <c r="A241" s="7">
        <v>43674.0</v>
      </c>
      <c r="B241" s="11">
        <v>107.9708</v>
      </c>
      <c r="C241" s="65">
        <f t="shared" si="3"/>
        <v>0.000196387944</v>
      </c>
      <c r="D241" s="42">
        <v>11284.3</v>
      </c>
      <c r="E241" s="40">
        <f t="shared" si="4"/>
        <v>0.002857231729</v>
      </c>
      <c r="F241" s="43">
        <v>6.525</v>
      </c>
      <c r="G241" s="49">
        <f t="shared" si="1"/>
        <v>0.06525</v>
      </c>
      <c r="H241" s="50">
        <f t="shared" si="2"/>
        <v>0.000173191745</v>
      </c>
      <c r="I241" s="51">
        <f t="shared" si="5"/>
        <v>0.001636548291</v>
      </c>
    </row>
    <row r="242">
      <c r="A242" s="7">
        <v>43675.0</v>
      </c>
      <c r="B242" s="11">
        <v>107.9934</v>
      </c>
      <c r="C242" s="65">
        <f t="shared" si="3"/>
        <v>0.0002093158521</v>
      </c>
      <c r="D242" s="42">
        <v>11189.2</v>
      </c>
      <c r="E242" s="40">
        <f t="shared" si="4"/>
        <v>-0.0084276384</v>
      </c>
      <c r="F242" s="43">
        <v>6.412</v>
      </c>
      <c r="G242" s="49">
        <f t="shared" si="1"/>
        <v>0.06412</v>
      </c>
      <c r="H242" s="50">
        <f t="shared" si="2"/>
        <v>0.0001702834459</v>
      </c>
      <c r="I242" s="51">
        <f t="shared" si="5"/>
        <v>-0.01679236535</v>
      </c>
    </row>
    <row r="243">
      <c r="A243" s="7">
        <v>43676.0</v>
      </c>
      <c r="B243" s="11">
        <v>108.0179</v>
      </c>
      <c r="C243" s="65">
        <f t="shared" si="3"/>
        <v>0.0002268657159</v>
      </c>
      <c r="D243" s="42">
        <v>11085.4</v>
      </c>
      <c r="E243" s="40">
        <f t="shared" si="4"/>
        <v>-0.009276802631</v>
      </c>
      <c r="F243" s="48">
        <v>6.387</v>
      </c>
      <c r="G243" s="49">
        <f t="shared" si="1"/>
        <v>0.06387</v>
      </c>
      <c r="H243" s="50">
        <f t="shared" si="2"/>
        <v>0.0001696396009</v>
      </c>
      <c r="I243" s="51">
        <f t="shared" si="5"/>
        <v>-0.003781019664</v>
      </c>
    </row>
    <row r="244">
      <c r="A244" s="7">
        <v>43677.0</v>
      </c>
      <c r="B244" s="11">
        <v>108.082</v>
      </c>
      <c r="C244" s="65">
        <f t="shared" si="3"/>
        <v>0.0005934201646</v>
      </c>
      <c r="D244" s="69">
        <v>11118.0</v>
      </c>
      <c r="E244" s="40">
        <f t="shared" si="4"/>
        <v>0.002940805023</v>
      </c>
      <c r="F244" s="43">
        <v>6.369</v>
      </c>
      <c r="G244" s="49">
        <f t="shared" si="1"/>
        <v>0.06369</v>
      </c>
      <c r="H244" s="50">
        <f t="shared" si="2"/>
        <v>0.000169175939</v>
      </c>
      <c r="I244" s="51">
        <f t="shared" si="5"/>
        <v>-0.002733217202</v>
      </c>
    </row>
    <row r="245">
      <c r="A245" s="7">
        <v>43678.0</v>
      </c>
      <c r="B245" s="11">
        <v>107.5527</v>
      </c>
      <c r="C245" s="65">
        <f t="shared" si="3"/>
        <v>-0.004897207676</v>
      </c>
      <c r="D245" s="70">
        <v>10980.0</v>
      </c>
      <c r="E245" s="71">
        <f t="shared" si="4"/>
        <v>-0.01241230437</v>
      </c>
      <c r="F245" s="72">
        <v>6.423</v>
      </c>
      <c r="G245" s="73">
        <f t="shared" si="1"/>
        <v>0.06423</v>
      </c>
      <c r="H245" s="74">
        <f t="shared" si="2"/>
        <v>0.00017056669</v>
      </c>
      <c r="I245" s="75">
        <f t="shared" si="5"/>
        <v>0.008220737412</v>
      </c>
    </row>
    <row r="246">
      <c r="A246" s="7"/>
      <c r="B246" s="11"/>
      <c r="D246" s="5"/>
      <c r="E246" s="5"/>
      <c r="F246" s="5"/>
      <c r="G246" s="5"/>
      <c r="H246" s="9"/>
      <c r="I246" s="10"/>
    </row>
    <row r="247">
      <c r="A247" s="13"/>
      <c r="B247" s="11"/>
      <c r="D247" s="5"/>
      <c r="E247" s="5"/>
      <c r="F247" s="5"/>
      <c r="G247" s="5"/>
      <c r="H247" s="9"/>
      <c r="I247" s="10"/>
    </row>
    <row r="248">
      <c r="A248" s="76" t="s">
        <v>35</v>
      </c>
      <c r="B248" s="11"/>
      <c r="C248" s="65">
        <f>AVERAGE(C5:C245)</f>
        <v>0.00003351161144</v>
      </c>
      <c r="D248" s="5">
        <f t="shared" ref="D248:I248" si="6">AVERAGE(D4:D245)</f>
        <v>11179.21157</v>
      </c>
      <c r="E248" s="77">
        <f t="shared" si="6"/>
        <v>-0.00009807723871</v>
      </c>
      <c r="F248" s="5">
        <f t="shared" si="6"/>
        <v>7.458446281</v>
      </c>
      <c r="G248" s="5">
        <f t="shared" si="6"/>
        <v>0.07458446281</v>
      </c>
      <c r="H248" s="5">
        <f t="shared" si="6"/>
        <v>0.000197076328</v>
      </c>
      <c r="I248" s="77">
        <f t="shared" si="6"/>
        <v>-0.0007069170763</v>
      </c>
    </row>
    <row r="249">
      <c r="A249" s="76" t="s">
        <v>36</v>
      </c>
      <c r="B249" s="11"/>
      <c r="C249" s="65">
        <f>STDEV(C5:C245)</f>
        <v>0.00091765354</v>
      </c>
      <c r="D249" s="5">
        <f t="shared" ref="D249:I249" si="7">STDEV(D4:D245)</f>
        <v>485.5886639</v>
      </c>
      <c r="E249" s="5">
        <f t="shared" si="7"/>
        <v>0.008743152214</v>
      </c>
      <c r="F249" s="5">
        <f t="shared" si="7"/>
        <v>0.4380210202</v>
      </c>
      <c r="G249" s="5">
        <f t="shared" si="7"/>
        <v>0.004380210202</v>
      </c>
      <c r="H249" s="5">
        <f t="shared" si="7"/>
        <v>0.00001118755215</v>
      </c>
      <c r="I249" s="5">
        <f t="shared" si="7"/>
        <v>0.006459345241</v>
      </c>
    </row>
    <row r="250">
      <c r="A250" s="76" t="s">
        <v>37</v>
      </c>
      <c r="B250" s="11"/>
      <c r="C250" s="65">
        <f>INTERCEPT(C5:C245,E5:E245)</f>
        <v>0.00003343297931</v>
      </c>
      <c r="D250" s="78"/>
      <c r="E250" s="5"/>
      <c r="F250" s="5"/>
      <c r="G250" s="5"/>
      <c r="H250" s="9"/>
      <c r="I250" s="10"/>
    </row>
    <row r="251">
      <c r="A251" s="76" t="s">
        <v>38</v>
      </c>
      <c r="B251" s="11"/>
      <c r="C251" s="65">
        <f>SLOPE(C5:C245,E5:E245)</f>
        <v>-0.0008017367929</v>
      </c>
      <c r="D251" s="78"/>
      <c r="E251" s="5"/>
      <c r="F251" s="5"/>
      <c r="G251" s="5"/>
      <c r="H251" s="9"/>
      <c r="I251" s="10"/>
    </row>
    <row r="252">
      <c r="B252" s="11"/>
      <c r="D252" s="78"/>
      <c r="E252" s="5"/>
      <c r="F252" s="5"/>
      <c r="G252" s="5"/>
      <c r="H252" s="9"/>
      <c r="I252" s="10"/>
    </row>
    <row r="253">
      <c r="B253" s="11"/>
      <c r="D253" s="78"/>
      <c r="E253" s="5"/>
      <c r="F253" s="5"/>
      <c r="G253" s="5"/>
      <c r="H253" s="9"/>
      <c r="I253" s="10"/>
    </row>
    <row r="254">
      <c r="B254" s="11"/>
      <c r="D254" s="78"/>
      <c r="E254" s="5"/>
      <c r="F254" s="5"/>
      <c r="G254" s="5"/>
      <c r="H254" s="9"/>
      <c r="I254" s="10"/>
    </row>
    <row r="255">
      <c r="A255" s="103"/>
      <c r="B255" s="104"/>
      <c r="C255" s="80" t="s">
        <v>63</v>
      </c>
      <c r="D255" s="105" t="s">
        <v>64</v>
      </c>
      <c r="E255" s="5"/>
      <c r="F255" s="5"/>
      <c r="G255" s="5"/>
      <c r="H255" s="9"/>
      <c r="I255" s="10"/>
    </row>
    <row r="256">
      <c r="A256" s="81" t="s">
        <v>41</v>
      </c>
      <c r="B256" s="106"/>
      <c r="C256" s="107">
        <f>C248-(I248+C251*(E248-I248))</f>
        <v>0.000740916817</v>
      </c>
      <c r="D256" s="108">
        <v>0.0</v>
      </c>
      <c r="E256" s="76"/>
      <c r="F256" s="5"/>
      <c r="G256" s="5"/>
      <c r="H256" s="9"/>
      <c r="I256" s="10"/>
    </row>
    <row r="257">
      <c r="A257" s="81" t="s">
        <v>42</v>
      </c>
      <c r="B257" s="106"/>
      <c r="C257" s="79">
        <f>(C248-I248)/C251</f>
        <v>-0.9235308823</v>
      </c>
      <c r="D257" s="109">
        <f>(E248-I248)</f>
        <v>0.0006088398376</v>
      </c>
      <c r="E257" s="76"/>
      <c r="F257" s="5"/>
      <c r="G257" s="5"/>
      <c r="H257" s="9"/>
      <c r="I257" s="10"/>
    </row>
    <row r="258">
      <c r="A258" s="81" t="s">
        <v>43</v>
      </c>
      <c r="B258" s="106"/>
      <c r="C258" s="79">
        <f>(C248-I248)/C249</f>
        <v>0.8068717173</v>
      </c>
      <c r="D258" s="109">
        <f>(E248-I248)/E249</f>
        <v>0.06963619329</v>
      </c>
      <c r="E258" s="76"/>
      <c r="F258" s="5"/>
      <c r="G258" s="5"/>
      <c r="H258" s="9"/>
      <c r="I258" s="10"/>
    </row>
    <row r="259">
      <c r="A259" s="81" t="s">
        <v>44</v>
      </c>
      <c r="B259" s="106"/>
      <c r="C259" s="79">
        <f>E249*(C258-D258)</f>
        <v>0.006445762404</v>
      </c>
      <c r="D259" s="108">
        <v>0.0</v>
      </c>
      <c r="E259" s="76"/>
      <c r="F259" s="5"/>
      <c r="G259" s="5"/>
      <c r="H259" s="9"/>
      <c r="I259" s="10"/>
    </row>
    <row r="260">
      <c r="A260" s="5"/>
      <c r="B260" s="11"/>
      <c r="D260" s="78"/>
      <c r="E260" s="5"/>
      <c r="F260" s="5"/>
      <c r="G260" s="5"/>
      <c r="H260" s="9"/>
      <c r="I260" s="10"/>
    </row>
    <row r="261">
      <c r="A261" s="5"/>
      <c r="B261" s="11"/>
      <c r="D261" s="78"/>
      <c r="E261" s="5"/>
      <c r="F261" s="5"/>
      <c r="G261" s="5"/>
      <c r="H261" s="9"/>
      <c r="I261" s="10"/>
    </row>
    <row r="262">
      <c r="A262" s="5"/>
      <c r="B262" s="11"/>
      <c r="D262" s="78"/>
      <c r="E262" s="5"/>
      <c r="F262" s="5"/>
      <c r="G262" s="5"/>
      <c r="H262" s="9"/>
      <c r="I262" s="10"/>
    </row>
    <row r="263">
      <c r="A263" s="5"/>
      <c r="B263" s="11"/>
      <c r="D263" s="78"/>
      <c r="E263" s="5"/>
      <c r="F263" s="5"/>
      <c r="G263" s="5"/>
      <c r="H263" s="9"/>
      <c r="I263" s="10"/>
    </row>
    <row r="264">
      <c r="A264" s="5"/>
      <c r="B264" s="11"/>
      <c r="D264" s="78"/>
      <c r="E264" s="5"/>
      <c r="F264" s="5"/>
      <c r="G264" s="5"/>
      <c r="H264" s="9"/>
      <c r="I264" s="10"/>
    </row>
    <row r="265">
      <c r="A265" s="5"/>
      <c r="B265" s="11"/>
      <c r="D265" s="78"/>
      <c r="E265" s="5"/>
      <c r="F265" s="5"/>
      <c r="G265" s="5"/>
      <c r="H265" s="9"/>
      <c r="I265" s="10"/>
    </row>
    <row r="266">
      <c r="A266" s="5"/>
      <c r="B266" s="11"/>
      <c r="D266" s="78"/>
      <c r="E266" s="5"/>
      <c r="F266" s="5"/>
      <c r="G266" s="5"/>
      <c r="H266" s="9"/>
      <c r="I266" s="10"/>
    </row>
    <row r="267">
      <c r="A267" s="5"/>
      <c r="B267" s="11"/>
      <c r="D267" s="78"/>
      <c r="E267" s="5"/>
      <c r="F267" s="5"/>
      <c r="G267" s="5"/>
      <c r="H267" s="9"/>
      <c r="I267" s="10"/>
    </row>
    <row r="268">
      <c r="A268" s="5"/>
      <c r="B268" s="11"/>
      <c r="D268" s="78"/>
      <c r="E268" s="5"/>
      <c r="F268" s="5"/>
      <c r="G268" s="5"/>
      <c r="H268" s="9"/>
      <c r="I268" s="10"/>
    </row>
    <row r="269">
      <c r="A269" s="5"/>
      <c r="B269" s="11"/>
      <c r="D269" s="78"/>
      <c r="E269" s="5"/>
      <c r="F269" s="5"/>
      <c r="G269" s="5"/>
      <c r="H269" s="9"/>
      <c r="I269" s="10"/>
    </row>
    <row r="270">
      <c r="A270" s="5"/>
      <c r="B270" s="11"/>
      <c r="D270" s="78"/>
      <c r="E270" s="5"/>
      <c r="F270" s="5"/>
      <c r="G270" s="5"/>
      <c r="H270" s="9"/>
      <c r="I270" s="10"/>
    </row>
    <row r="271">
      <c r="A271" s="5"/>
      <c r="B271" s="11"/>
      <c r="D271" s="78"/>
      <c r="E271" s="5"/>
      <c r="F271" s="5"/>
      <c r="G271" s="5"/>
      <c r="H271" s="9"/>
      <c r="I271" s="10"/>
    </row>
    <row r="272">
      <c r="A272" s="5"/>
      <c r="B272" s="11"/>
      <c r="D272" s="78"/>
      <c r="E272" s="5"/>
      <c r="F272" s="5"/>
      <c r="G272" s="5"/>
      <c r="H272" s="9"/>
      <c r="I272" s="10"/>
    </row>
    <row r="273">
      <c r="A273" s="5"/>
      <c r="B273" s="11"/>
      <c r="D273" s="78"/>
      <c r="E273" s="5"/>
      <c r="F273" s="5"/>
      <c r="G273" s="5"/>
      <c r="H273" s="9"/>
      <c r="I273" s="10"/>
    </row>
    <row r="274">
      <c r="A274" s="5"/>
      <c r="B274" s="11"/>
      <c r="D274" s="78"/>
      <c r="E274" s="5"/>
      <c r="F274" s="5"/>
      <c r="G274" s="5"/>
      <c r="H274" s="9"/>
      <c r="I274" s="10"/>
    </row>
    <row r="275">
      <c r="A275" s="5"/>
      <c r="B275" s="11"/>
      <c r="C275" s="78"/>
      <c r="D275" s="5"/>
      <c r="E275" s="5"/>
      <c r="F275" s="5"/>
      <c r="G275" s="9"/>
      <c r="H275" s="10"/>
    </row>
    <row r="276">
      <c r="A276" s="5"/>
      <c r="B276" s="11"/>
      <c r="C276" s="78"/>
      <c r="D276" s="5"/>
      <c r="E276" s="5"/>
      <c r="F276" s="5"/>
      <c r="G276" s="9"/>
      <c r="H276" s="10"/>
    </row>
    <row r="277">
      <c r="A277" s="5"/>
      <c r="B277" s="11"/>
      <c r="C277" s="78"/>
      <c r="D277" s="5"/>
      <c r="E277" s="5"/>
      <c r="F277" s="5"/>
      <c r="G277" s="9"/>
      <c r="H277" s="10"/>
    </row>
    <row r="278">
      <c r="A278" s="5"/>
      <c r="B278" s="11"/>
      <c r="C278" s="78"/>
      <c r="D278" s="5"/>
      <c r="E278" s="5"/>
      <c r="F278" s="5"/>
      <c r="G278" s="9"/>
      <c r="H278" s="10"/>
    </row>
    <row r="279">
      <c r="A279" s="5"/>
      <c r="B279" s="11"/>
    </row>
    <row r="280">
      <c r="A280" s="5"/>
      <c r="B280" s="11"/>
    </row>
    <row r="281">
      <c r="A281" s="5"/>
      <c r="B281" s="11"/>
    </row>
    <row r="282">
      <c r="A282" s="5"/>
      <c r="B282" s="11"/>
    </row>
    <row r="283">
      <c r="A283" s="5"/>
      <c r="B283" s="11"/>
    </row>
    <row r="284">
      <c r="A284" s="66"/>
      <c r="B284" s="11"/>
    </row>
    <row r="285">
      <c r="A285" s="66"/>
      <c r="B285" s="11"/>
    </row>
    <row r="286">
      <c r="A286" s="61"/>
      <c r="B286" s="11"/>
    </row>
    <row r="287">
      <c r="A287" s="61"/>
      <c r="B287" s="11"/>
    </row>
    <row r="288">
      <c r="A288" s="61"/>
      <c r="B288" s="11"/>
    </row>
    <row r="289">
      <c r="A289" s="61"/>
      <c r="B289" s="11"/>
    </row>
    <row r="290">
      <c r="A290" s="61"/>
      <c r="B290" s="11"/>
    </row>
    <row r="291">
      <c r="A291" s="61"/>
      <c r="B291" s="11"/>
    </row>
    <row r="292">
      <c r="A292" s="61"/>
      <c r="B292" s="11"/>
    </row>
    <row r="293">
      <c r="A293" s="61"/>
      <c r="B293" s="11"/>
    </row>
    <row r="294">
      <c r="A294" s="61"/>
      <c r="B294" s="11"/>
    </row>
    <row r="295">
      <c r="A295" s="61"/>
      <c r="B295" s="11"/>
    </row>
    <row r="296">
      <c r="A296" s="61"/>
      <c r="B296" s="11"/>
    </row>
    <row r="297">
      <c r="A297" s="61"/>
      <c r="B297" s="11"/>
    </row>
    <row r="298">
      <c r="A298" s="61"/>
      <c r="B298" s="11"/>
    </row>
    <row r="299">
      <c r="A299" s="61"/>
      <c r="B299" s="11"/>
    </row>
    <row r="300">
      <c r="A300" s="61"/>
      <c r="B300" s="11"/>
    </row>
    <row r="301">
      <c r="A301" s="61"/>
      <c r="B301" s="11"/>
    </row>
    <row r="302">
      <c r="A302" s="61"/>
      <c r="B302" s="11"/>
    </row>
    <row r="303">
      <c r="A303" s="61"/>
      <c r="B303" s="11"/>
    </row>
    <row r="304">
      <c r="A304" s="61"/>
      <c r="B304" s="11"/>
    </row>
    <row r="305">
      <c r="A305" s="61"/>
      <c r="B305" s="11"/>
    </row>
    <row r="306">
      <c r="A306" s="61"/>
      <c r="B306" s="11"/>
    </row>
    <row r="307">
      <c r="A307" s="61"/>
      <c r="B307" s="11"/>
    </row>
    <row r="308">
      <c r="A308" s="13"/>
      <c r="B308" s="11"/>
    </row>
    <row r="309">
      <c r="A309" s="13"/>
      <c r="B309" s="11"/>
    </row>
    <row r="310">
      <c r="A310" s="13"/>
      <c r="B310" s="11"/>
    </row>
    <row r="311">
      <c r="A311" s="13"/>
      <c r="B311" s="11"/>
    </row>
    <row r="312">
      <c r="A312" s="13"/>
      <c r="B312" s="11"/>
    </row>
    <row r="313">
      <c r="A313" s="13"/>
      <c r="B313" s="11"/>
    </row>
    <row r="314">
      <c r="A314" s="13"/>
      <c r="B314" s="11"/>
    </row>
    <row r="315">
      <c r="A315" s="13"/>
      <c r="B315" s="11"/>
    </row>
    <row r="316">
      <c r="A316" s="13"/>
      <c r="B316" s="11"/>
    </row>
    <row r="317">
      <c r="A317" s="7"/>
      <c r="B317" s="11"/>
    </row>
    <row r="318">
      <c r="A318" s="7"/>
      <c r="B318" s="11"/>
    </row>
    <row r="319">
      <c r="A319" s="7"/>
      <c r="B319" s="11"/>
    </row>
    <row r="320">
      <c r="A320" s="7"/>
      <c r="B320" s="11"/>
    </row>
    <row r="321">
      <c r="A321" s="7"/>
      <c r="B321" s="11"/>
    </row>
    <row r="322">
      <c r="A322" s="7"/>
      <c r="B322" s="11"/>
    </row>
    <row r="323">
      <c r="A323" s="7"/>
      <c r="B323" s="11"/>
    </row>
    <row r="324">
      <c r="A324" s="7"/>
      <c r="B324" s="11"/>
    </row>
    <row r="325">
      <c r="A325" s="7"/>
      <c r="B325" s="11"/>
    </row>
    <row r="326">
      <c r="A326" s="7"/>
      <c r="B326" s="11"/>
    </row>
    <row r="327">
      <c r="A327" s="7"/>
      <c r="B327" s="11"/>
    </row>
    <row r="328">
      <c r="A328" s="7"/>
      <c r="B328" s="11"/>
    </row>
    <row r="329">
      <c r="A329" s="7"/>
      <c r="B329" s="11"/>
    </row>
    <row r="330">
      <c r="A330" s="7"/>
      <c r="B330" s="11"/>
    </row>
    <row r="331">
      <c r="A331" s="7"/>
      <c r="B331" s="11"/>
    </row>
    <row r="332">
      <c r="A332" s="7"/>
      <c r="B332" s="11"/>
    </row>
    <row r="333">
      <c r="A333" s="7"/>
      <c r="B333" s="11"/>
    </row>
    <row r="334">
      <c r="A334" s="7"/>
      <c r="B334" s="11"/>
    </row>
    <row r="335">
      <c r="A335" s="7"/>
      <c r="B335" s="11"/>
    </row>
    <row r="336">
      <c r="A336" s="7"/>
      <c r="B336" s="11"/>
    </row>
    <row r="337">
      <c r="A337" s="7"/>
      <c r="B337" s="11"/>
    </row>
    <row r="338">
      <c r="A338" s="13"/>
      <c r="B338" s="11"/>
    </row>
    <row r="339">
      <c r="A339" s="13"/>
      <c r="B339" s="11"/>
    </row>
    <row r="340">
      <c r="A340" s="13"/>
      <c r="B340" s="11"/>
    </row>
    <row r="341">
      <c r="A341" s="13"/>
      <c r="B341" s="11"/>
    </row>
    <row r="342">
      <c r="A342" s="13"/>
      <c r="B342" s="11"/>
    </row>
    <row r="343">
      <c r="A343" s="13"/>
      <c r="B343" s="11"/>
    </row>
    <row r="344">
      <c r="A344" s="13"/>
      <c r="B344" s="11"/>
    </row>
    <row r="345">
      <c r="A345" s="13"/>
      <c r="B345" s="11"/>
    </row>
    <row r="346">
      <c r="A346" s="13"/>
      <c r="B346" s="11"/>
    </row>
    <row r="347">
      <c r="A347" s="7"/>
      <c r="B347" s="11"/>
    </row>
    <row r="348">
      <c r="A348" s="7"/>
      <c r="B348" s="11"/>
    </row>
    <row r="349">
      <c r="A349" s="7"/>
      <c r="B349" s="11"/>
    </row>
    <row r="350">
      <c r="A350" s="7"/>
      <c r="B350" s="11"/>
    </row>
    <row r="351">
      <c r="A351" s="7"/>
      <c r="B351" s="11"/>
    </row>
    <row r="352">
      <c r="A352" s="7"/>
      <c r="B352" s="11"/>
    </row>
    <row r="353">
      <c r="A353" s="7"/>
      <c r="B353" s="11"/>
    </row>
    <row r="354">
      <c r="A354" s="7"/>
      <c r="B354" s="11"/>
    </row>
    <row r="355">
      <c r="A355" s="7"/>
      <c r="B355" s="11"/>
    </row>
    <row r="356">
      <c r="A356" s="7"/>
      <c r="B356" s="11"/>
    </row>
    <row r="357">
      <c r="A357" s="7"/>
      <c r="B357" s="11"/>
    </row>
    <row r="358">
      <c r="A358" s="7"/>
      <c r="B358" s="11"/>
    </row>
    <row r="359">
      <c r="A359" s="7"/>
      <c r="B359" s="11"/>
    </row>
    <row r="360">
      <c r="A360" s="7"/>
      <c r="B360" s="11"/>
    </row>
    <row r="361">
      <c r="A361" s="7"/>
      <c r="B361" s="11"/>
    </row>
    <row r="362">
      <c r="A362" s="7"/>
      <c r="B362" s="11"/>
    </row>
    <row r="363">
      <c r="A363" s="7"/>
      <c r="B363" s="11"/>
    </row>
    <row r="364">
      <c r="A364" s="7"/>
      <c r="B364" s="11"/>
    </row>
    <row r="365">
      <c r="A365" s="7"/>
      <c r="B365" s="11"/>
    </row>
    <row r="366">
      <c r="A366" s="7"/>
      <c r="B366" s="11"/>
    </row>
    <row r="367">
      <c r="A367" s="7"/>
      <c r="B367" s="11"/>
    </row>
    <row r="368">
      <c r="A368" s="7"/>
      <c r="B368" s="11"/>
    </row>
    <row r="369">
      <c r="A369" s="13"/>
      <c r="B369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15.5"/>
  </cols>
  <sheetData>
    <row r="1">
      <c r="C1" s="4">
        <v>120656.0</v>
      </c>
      <c r="D1" s="1" t="s">
        <v>49</v>
      </c>
      <c r="H1" s="1" t="s">
        <v>50</v>
      </c>
    </row>
    <row r="3">
      <c r="A3" s="62" t="s">
        <v>0</v>
      </c>
      <c r="B3" s="62" t="s">
        <v>51</v>
      </c>
      <c r="C3" s="62" t="s">
        <v>52</v>
      </c>
      <c r="D3" s="22" t="s">
        <v>16</v>
      </c>
      <c r="E3" s="23" t="s">
        <v>17</v>
      </c>
      <c r="F3" s="22" t="s">
        <v>18</v>
      </c>
      <c r="G3" s="26" t="s">
        <v>19</v>
      </c>
      <c r="H3" s="29" t="s">
        <v>21</v>
      </c>
      <c r="I3" s="31" t="s">
        <v>22</v>
      </c>
    </row>
    <row r="4">
      <c r="A4" s="13">
        <v>43313.0</v>
      </c>
      <c r="B4" s="11">
        <v>126.0894</v>
      </c>
      <c r="D4" s="42">
        <v>11346.2</v>
      </c>
      <c r="E4" s="40"/>
      <c r="F4" s="43">
        <v>7.701</v>
      </c>
      <c r="G4" s="49">
        <f t="shared" ref="G4:G245" si="1">F4/100</f>
        <v>0.07701</v>
      </c>
      <c r="H4" s="50">
        <f t="shared" ref="H4:H245" si="2">(1+G4)^(1/365) - 1</f>
        <v>0.0002032773243</v>
      </c>
      <c r="I4" s="51"/>
    </row>
    <row r="5">
      <c r="A5" s="13">
        <v>43314.0</v>
      </c>
      <c r="B5" s="11">
        <v>125.3765</v>
      </c>
      <c r="C5" s="65">
        <f t="shared" ref="C5:C245" si="3">(B5-B4)/B4</f>
        <v>-0.005653924914</v>
      </c>
      <c r="D5" s="42">
        <v>11244.7</v>
      </c>
      <c r="E5" s="40">
        <f t="shared" ref="E5:E245" si="4">(D5-D4)/D4</f>
        <v>-0.008945726322</v>
      </c>
      <c r="F5" s="43">
        <v>7.721</v>
      </c>
      <c r="G5" s="49">
        <f t="shared" si="1"/>
        <v>0.07721</v>
      </c>
      <c r="H5" s="50">
        <f t="shared" si="2"/>
        <v>0.0002037861458</v>
      </c>
      <c r="I5" s="51">
        <f t="shared" ref="I5:I245" si="5">(H5-H4)/H4</f>
        <v>0.002503090332</v>
      </c>
    </row>
    <row r="6">
      <c r="A6" s="13">
        <v>43315.0</v>
      </c>
      <c r="B6" s="11">
        <v>126.4848</v>
      </c>
      <c r="C6" s="65">
        <f t="shared" si="3"/>
        <v>0.008839774599</v>
      </c>
      <c r="D6" s="42">
        <v>11360.8</v>
      </c>
      <c r="E6" s="40">
        <f t="shared" si="4"/>
        <v>0.01032486416</v>
      </c>
      <c r="F6" s="43">
        <v>7.763</v>
      </c>
      <c r="G6" s="49">
        <f t="shared" si="1"/>
        <v>0.07763</v>
      </c>
      <c r="H6" s="50">
        <f t="shared" si="2"/>
        <v>0.0002048543644</v>
      </c>
      <c r="I6" s="51">
        <f t="shared" si="5"/>
        <v>0.00524186062</v>
      </c>
    </row>
    <row r="7">
      <c r="A7" s="13">
        <v>43318.0</v>
      </c>
      <c r="B7" s="11">
        <v>126.8121</v>
      </c>
      <c r="C7" s="65">
        <f t="shared" si="3"/>
        <v>0.002587662707</v>
      </c>
      <c r="D7" s="42">
        <v>11387.1</v>
      </c>
      <c r="E7" s="40">
        <f t="shared" si="4"/>
        <v>0.002314977818</v>
      </c>
      <c r="F7" s="43">
        <v>7.768</v>
      </c>
      <c r="G7" s="49">
        <f t="shared" si="1"/>
        <v>0.07768</v>
      </c>
      <c r="H7" s="50">
        <f t="shared" si="2"/>
        <v>0.0002049815056</v>
      </c>
      <c r="I7" s="51">
        <f t="shared" si="5"/>
        <v>0.0006206419915</v>
      </c>
    </row>
    <row r="8">
      <c r="A8" s="13">
        <v>43319.0</v>
      </c>
      <c r="B8" s="11">
        <v>126.4895</v>
      </c>
      <c r="C8" s="65">
        <f t="shared" si="3"/>
        <v>-0.002543921282</v>
      </c>
      <c r="D8" s="42">
        <v>11389.45</v>
      </c>
      <c r="E8" s="40">
        <f t="shared" si="4"/>
        <v>0.0002063738792</v>
      </c>
      <c r="F8" s="43">
        <v>7.786</v>
      </c>
      <c r="G8" s="49">
        <f t="shared" si="1"/>
        <v>0.07786</v>
      </c>
      <c r="H8" s="50">
        <f t="shared" si="2"/>
        <v>0.0002054391653</v>
      </c>
      <c r="I8" s="51">
        <f t="shared" si="5"/>
        <v>0.002232687725</v>
      </c>
    </row>
    <row r="9">
      <c r="A9" s="13">
        <v>43320.0</v>
      </c>
      <c r="B9" s="11">
        <v>126.9207</v>
      </c>
      <c r="C9" s="65">
        <f t="shared" si="3"/>
        <v>0.003408978611</v>
      </c>
      <c r="D9" s="42">
        <v>11450.0</v>
      </c>
      <c r="E9" s="40">
        <f t="shared" si="4"/>
        <v>0.00531632344</v>
      </c>
      <c r="F9" s="43">
        <v>7.782</v>
      </c>
      <c r="G9" s="49">
        <f t="shared" si="1"/>
        <v>0.07782</v>
      </c>
      <c r="H9" s="50">
        <f t="shared" si="2"/>
        <v>0.0002053374697</v>
      </c>
      <c r="I9" s="51">
        <f t="shared" si="5"/>
        <v>-0.0004950154771</v>
      </c>
    </row>
    <row r="10">
      <c r="A10" s="13">
        <v>43321.0</v>
      </c>
      <c r="B10" s="11">
        <v>127.3712</v>
      </c>
      <c r="C10" s="65">
        <f t="shared" si="3"/>
        <v>0.003549460411</v>
      </c>
      <c r="D10" s="42">
        <v>11470.7</v>
      </c>
      <c r="E10" s="40">
        <f t="shared" si="4"/>
        <v>0.001807860262</v>
      </c>
      <c r="F10" s="43">
        <v>7.745</v>
      </c>
      <c r="G10" s="49">
        <f t="shared" si="1"/>
        <v>0.07745</v>
      </c>
      <c r="H10" s="50">
        <f t="shared" si="2"/>
        <v>0.0002043966073</v>
      </c>
      <c r="I10" s="51">
        <f t="shared" si="5"/>
        <v>-0.004582030051</v>
      </c>
    </row>
    <row r="11">
      <c r="A11" s="7">
        <v>43322.0</v>
      </c>
      <c r="B11" s="11">
        <v>127.0883</v>
      </c>
      <c r="C11" s="65">
        <f t="shared" si="3"/>
        <v>-0.002221067243</v>
      </c>
      <c r="D11" s="42">
        <v>11429.5</v>
      </c>
      <c r="E11" s="40">
        <f t="shared" si="4"/>
        <v>-0.003591759875</v>
      </c>
      <c r="F11" s="43">
        <v>7.754</v>
      </c>
      <c r="G11" s="49">
        <f t="shared" si="1"/>
        <v>0.07754</v>
      </c>
      <c r="H11" s="50">
        <f t="shared" si="2"/>
        <v>0.0002046254953</v>
      </c>
      <c r="I11" s="51">
        <f t="shared" si="5"/>
        <v>0.001119823322</v>
      </c>
    </row>
    <row r="12">
      <c r="A12" s="7">
        <v>43325.0</v>
      </c>
      <c r="B12" s="11">
        <v>126.6084</v>
      </c>
      <c r="C12" s="65">
        <f t="shared" si="3"/>
        <v>-0.003776114717</v>
      </c>
      <c r="D12" s="42">
        <v>11355.75</v>
      </c>
      <c r="E12" s="40">
        <f t="shared" si="4"/>
        <v>-0.006452600726</v>
      </c>
      <c r="F12" s="43">
        <v>7.823</v>
      </c>
      <c r="G12" s="49">
        <f t="shared" si="1"/>
        <v>0.07823</v>
      </c>
      <c r="H12" s="50">
        <f t="shared" si="2"/>
        <v>0.0002063796709</v>
      </c>
      <c r="I12" s="51">
        <f t="shared" si="5"/>
        <v>0.008572614779</v>
      </c>
    </row>
    <row r="13">
      <c r="A13" s="7">
        <v>43326.0</v>
      </c>
      <c r="B13" s="11">
        <v>127.5397</v>
      </c>
      <c r="C13" s="65">
        <f t="shared" si="3"/>
        <v>0.007355752067</v>
      </c>
      <c r="D13" s="42">
        <v>11435.1</v>
      </c>
      <c r="E13" s="40">
        <f t="shared" si="4"/>
        <v>0.006987649429</v>
      </c>
      <c r="F13" s="43">
        <v>7.818</v>
      </c>
      <c r="G13" s="49">
        <f t="shared" si="1"/>
        <v>0.07818</v>
      </c>
      <c r="H13" s="50">
        <f t="shared" si="2"/>
        <v>0.0002062525943</v>
      </c>
      <c r="I13" s="51">
        <f t="shared" si="5"/>
        <v>-0.0006157415713</v>
      </c>
    </row>
    <row r="14">
      <c r="A14" s="7">
        <v>43328.0</v>
      </c>
      <c r="B14" s="11">
        <v>127.3868</v>
      </c>
      <c r="C14" s="65">
        <f t="shared" si="3"/>
        <v>-0.0011988424</v>
      </c>
      <c r="D14" s="42">
        <v>11385.05</v>
      </c>
      <c r="E14" s="40">
        <f t="shared" si="4"/>
        <v>-0.00437687471</v>
      </c>
      <c r="F14" s="43">
        <v>7.861</v>
      </c>
      <c r="G14" s="49">
        <f t="shared" si="1"/>
        <v>0.07861</v>
      </c>
      <c r="H14" s="50">
        <f t="shared" si="2"/>
        <v>0.0002073452606</v>
      </c>
      <c r="I14" s="51">
        <f t="shared" si="5"/>
        <v>0.005297709177</v>
      </c>
    </row>
    <row r="15">
      <c r="A15" s="7">
        <v>43329.0</v>
      </c>
      <c r="B15" s="11">
        <v>128.3627</v>
      </c>
      <c r="C15" s="65">
        <f t="shared" si="3"/>
        <v>0.007660919342</v>
      </c>
      <c r="D15" s="42">
        <v>11470.75</v>
      </c>
      <c r="E15" s="40">
        <f t="shared" si="4"/>
        <v>0.007527415339</v>
      </c>
      <c r="F15" s="43">
        <v>7.838</v>
      </c>
      <c r="G15" s="49">
        <f t="shared" si="1"/>
        <v>0.07838</v>
      </c>
      <c r="H15" s="50">
        <f t="shared" si="2"/>
        <v>0.0002067608653</v>
      </c>
      <c r="I15" s="51">
        <f t="shared" si="5"/>
        <v>-0.002818464941</v>
      </c>
    </row>
    <row r="16">
      <c r="A16" s="7">
        <v>43332.0</v>
      </c>
      <c r="B16" s="11">
        <v>128.7362</v>
      </c>
      <c r="C16" s="65">
        <f t="shared" si="3"/>
        <v>0.002909723775</v>
      </c>
      <c r="D16" s="42">
        <v>11551.75</v>
      </c>
      <c r="E16" s="40">
        <f t="shared" si="4"/>
        <v>0.007061438877</v>
      </c>
      <c r="F16" s="43">
        <v>7.827</v>
      </c>
      <c r="G16" s="49">
        <f t="shared" si="1"/>
        <v>0.07827</v>
      </c>
      <c r="H16" s="50">
        <f t="shared" si="2"/>
        <v>0.0002064813279</v>
      </c>
      <c r="I16" s="51">
        <f t="shared" si="5"/>
        <v>-0.001351983936</v>
      </c>
    </row>
    <row r="17">
      <c r="A17" s="7">
        <v>43333.0</v>
      </c>
      <c r="B17" s="11">
        <v>128.9027</v>
      </c>
      <c r="C17" s="65">
        <f t="shared" si="3"/>
        <v>0.00129334251</v>
      </c>
      <c r="D17" s="42">
        <v>11570.9</v>
      </c>
      <c r="E17" s="40">
        <f t="shared" si="4"/>
        <v>0.001657757483</v>
      </c>
      <c r="F17" s="43">
        <v>7.879</v>
      </c>
      <c r="G17" s="49">
        <f t="shared" si="1"/>
        <v>0.07879</v>
      </c>
      <c r="H17" s="50">
        <f t="shared" si="2"/>
        <v>0.0002078025268</v>
      </c>
      <c r="I17" s="51">
        <f t="shared" si="5"/>
        <v>0.006398636287</v>
      </c>
    </row>
    <row r="18">
      <c r="A18" s="7">
        <v>43335.0</v>
      </c>
      <c r="B18" s="11">
        <v>129.0862</v>
      </c>
      <c r="C18" s="65">
        <f t="shared" si="3"/>
        <v>0.001423554355</v>
      </c>
      <c r="D18" s="42">
        <v>11582.75</v>
      </c>
      <c r="E18" s="40">
        <f t="shared" si="4"/>
        <v>0.001024120855</v>
      </c>
      <c r="F18" s="43">
        <v>7.871</v>
      </c>
      <c r="G18" s="49">
        <f t="shared" si="1"/>
        <v>0.07871</v>
      </c>
      <c r="H18" s="50">
        <f t="shared" si="2"/>
        <v>0.0002075993068</v>
      </c>
      <c r="I18" s="51">
        <f t="shared" si="5"/>
        <v>-0.0009779478224</v>
      </c>
    </row>
    <row r="19">
      <c r="A19" s="7">
        <v>43336.0</v>
      </c>
      <c r="B19" s="11">
        <v>128.5391</v>
      </c>
      <c r="C19" s="65">
        <f t="shared" si="3"/>
        <v>-0.004238253198</v>
      </c>
      <c r="D19" s="42">
        <v>11557.1</v>
      </c>
      <c r="E19" s="40">
        <f t="shared" si="4"/>
        <v>-0.002214500011</v>
      </c>
      <c r="F19" s="43">
        <v>7.894</v>
      </c>
      <c r="G19" s="49">
        <f t="shared" si="1"/>
        <v>0.07894</v>
      </c>
      <c r="H19" s="50">
        <f t="shared" si="2"/>
        <v>0.0002081835239</v>
      </c>
      <c r="I19" s="51">
        <f t="shared" si="5"/>
        <v>0.00281415717</v>
      </c>
    </row>
    <row r="20">
      <c r="A20" s="7">
        <v>43339.0</v>
      </c>
      <c r="B20" s="11">
        <v>130.025</v>
      </c>
      <c r="C20" s="65">
        <f t="shared" si="3"/>
        <v>0.01155990667</v>
      </c>
      <c r="D20" s="42">
        <v>11691.95</v>
      </c>
      <c r="E20" s="40">
        <f t="shared" si="4"/>
        <v>0.01166815205</v>
      </c>
      <c r="F20" s="43">
        <v>7.895</v>
      </c>
      <c r="G20" s="49">
        <f t="shared" si="1"/>
        <v>0.07895</v>
      </c>
      <c r="H20" s="50">
        <f t="shared" si="2"/>
        <v>0.0002082089218</v>
      </c>
      <c r="I20" s="51">
        <f t="shared" si="5"/>
        <v>0.0001219977673</v>
      </c>
    </row>
    <row r="21">
      <c r="A21" s="7">
        <v>43340.0</v>
      </c>
      <c r="B21" s="11">
        <v>130.2225</v>
      </c>
      <c r="C21" s="65">
        <f t="shared" si="3"/>
        <v>0.001518938666</v>
      </c>
      <c r="D21" s="42">
        <v>11738.5</v>
      </c>
      <c r="E21" s="40">
        <f t="shared" si="4"/>
        <v>0.003981371799</v>
      </c>
      <c r="F21" s="43">
        <v>7.918</v>
      </c>
      <c r="G21" s="49">
        <f t="shared" si="1"/>
        <v>0.07918</v>
      </c>
      <c r="H21" s="50">
        <f t="shared" si="2"/>
        <v>0.0002087930093</v>
      </c>
      <c r="I21" s="51">
        <f t="shared" si="5"/>
        <v>0.00280529523</v>
      </c>
    </row>
    <row r="22">
      <c r="A22" s="7">
        <v>43341.0</v>
      </c>
      <c r="B22" s="11">
        <v>129.7626</v>
      </c>
      <c r="C22" s="65">
        <f t="shared" si="3"/>
        <v>-0.003531647757</v>
      </c>
      <c r="D22" s="42">
        <v>11691.9</v>
      </c>
      <c r="E22" s="40">
        <f t="shared" si="4"/>
        <v>-0.003969842825</v>
      </c>
      <c r="F22" s="43">
        <v>7.93</v>
      </c>
      <c r="G22" s="49">
        <f t="shared" si="1"/>
        <v>0.0793</v>
      </c>
      <c r="H22" s="50">
        <f t="shared" si="2"/>
        <v>0.0002090977013</v>
      </c>
      <c r="I22" s="51">
        <f t="shared" si="5"/>
        <v>0.001459301838</v>
      </c>
    </row>
    <row r="23">
      <c r="A23" s="7">
        <v>43342.0</v>
      </c>
      <c r="B23" s="11">
        <v>129.8809</v>
      </c>
      <c r="C23" s="65">
        <f t="shared" si="3"/>
        <v>0.0009116648403</v>
      </c>
      <c r="D23" s="42">
        <v>11676.8</v>
      </c>
      <c r="E23" s="40">
        <f t="shared" si="4"/>
        <v>-0.001291492401</v>
      </c>
      <c r="F23" s="43">
        <v>7.951</v>
      </c>
      <c r="G23" s="49">
        <f t="shared" si="1"/>
        <v>0.07951</v>
      </c>
      <c r="H23" s="50">
        <f t="shared" si="2"/>
        <v>0.0002096308311</v>
      </c>
      <c r="I23" s="51">
        <f t="shared" si="5"/>
        <v>0.00254966818</v>
      </c>
    </row>
    <row r="24">
      <c r="A24" s="7">
        <v>43343.0</v>
      </c>
      <c r="B24" s="11">
        <v>130.5384</v>
      </c>
      <c r="C24" s="65">
        <f t="shared" si="3"/>
        <v>0.005062330181</v>
      </c>
      <c r="D24" s="42">
        <v>11680.5</v>
      </c>
      <c r="E24" s="40">
        <f t="shared" si="4"/>
        <v>0.000316867635</v>
      </c>
      <c r="F24" s="43">
        <v>7.999</v>
      </c>
      <c r="G24" s="49">
        <f t="shared" si="1"/>
        <v>0.07999</v>
      </c>
      <c r="H24" s="50">
        <f t="shared" si="2"/>
        <v>0.0002108490251</v>
      </c>
      <c r="I24" s="51">
        <f t="shared" si="5"/>
        <v>0.005811139589</v>
      </c>
    </row>
    <row r="25">
      <c r="A25" s="13">
        <v>43346.0</v>
      </c>
      <c r="B25" s="11">
        <v>129.4331</v>
      </c>
      <c r="C25" s="65">
        <f t="shared" si="3"/>
        <v>-0.008467240291</v>
      </c>
      <c r="D25" s="42">
        <v>11582.35</v>
      </c>
      <c r="E25" s="40">
        <f t="shared" si="4"/>
        <v>-0.008402893712</v>
      </c>
      <c r="F25" s="43">
        <v>8.062</v>
      </c>
      <c r="G25" s="49">
        <f t="shared" si="1"/>
        <v>0.08062</v>
      </c>
      <c r="H25" s="50">
        <f t="shared" si="2"/>
        <v>0.0002124470856</v>
      </c>
      <c r="I25" s="51">
        <f t="shared" si="5"/>
        <v>0.007579169536</v>
      </c>
    </row>
    <row r="26">
      <c r="A26" s="13">
        <v>43347.0</v>
      </c>
      <c r="B26" s="11">
        <v>128.1766</v>
      </c>
      <c r="C26" s="65">
        <f t="shared" si="3"/>
        <v>-0.009707717732</v>
      </c>
      <c r="D26" s="42">
        <v>11520.3</v>
      </c>
      <c r="E26" s="40">
        <f t="shared" si="4"/>
        <v>-0.005357289324</v>
      </c>
      <c r="F26" s="43">
        <v>8.049</v>
      </c>
      <c r="G26" s="49">
        <f t="shared" si="1"/>
        <v>0.08049</v>
      </c>
      <c r="H26" s="50">
        <f t="shared" si="2"/>
        <v>0.0002121174032</v>
      </c>
      <c r="I26" s="51">
        <f t="shared" si="5"/>
        <v>-0.00155183312</v>
      </c>
    </row>
    <row r="27">
      <c r="A27" s="13">
        <v>43348.0</v>
      </c>
      <c r="B27" s="11">
        <v>127.8236</v>
      </c>
      <c r="C27" s="65">
        <f t="shared" si="3"/>
        <v>-0.002754012823</v>
      </c>
      <c r="D27" s="42">
        <v>11476.95</v>
      </c>
      <c r="E27" s="40">
        <f t="shared" si="4"/>
        <v>-0.003762922841</v>
      </c>
      <c r="F27" s="43">
        <v>8.056</v>
      </c>
      <c r="G27" s="49">
        <f t="shared" si="1"/>
        <v>0.08056</v>
      </c>
      <c r="H27" s="50">
        <f t="shared" si="2"/>
        <v>0.0002122949294</v>
      </c>
      <c r="I27" s="51">
        <f t="shared" si="5"/>
        <v>0.0008369243519</v>
      </c>
    </row>
    <row r="28">
      <c r="A28" s="13">
        <v>43349.0</v>
      </c>
      <c r="B28" s="11">
        <v>128.2064</v>
      </c>
      <c r="C28" s="65">
        <f t="shared" si="3"/>
        <v>0.002994752143</v>
      </c>
      <c r="D28" s="42">
        <v>11536.9</v>
      </c>
      <c r="E28" s="40">
        <f t="shared" si="4"/>
        <v>0.005223513216</v>
      </c>
      <c r="F28" s="43">
        <v>8.031</v>
      </c>
      <c r="G28" s="49">
        <f t="shared" si="1"/>
        <v>0.08031</v>
      </c>
      <c r="H28" s="50">
        <f t="shared" si="2"/>
        <v>0.0002116608545</v>
      </c>
      <c r="I28" s="51">
        <f t="shared" si="5"/>
        <v>-0.002986764162</v>
      </c>
    </row>
    <row r="29">
      <c r="A29" s="13">
        <v>43350.0</v>
      </c>
      <c r="B29" s="11">
        <v>129.1381</v>
      </c>
      <c r="C29" s="65">
        <f t="shared" si="3"/>
        <v>0.007267187909</v>
      </c>
      <c r="D29" s="42">
        <v>11589.1</v>
      </c>
      <c r="E29" s="40">
        <f t="shared" si="4"/>
        <v>0.004524612331</v>
      </c>
      <c r="F29" s="43">
        <v>8.158</v>
      </c>
      <c r="G29" s="49">
        <f t="shared" si="1"/>
        <v>0.08158</v>
      </c>
      <c r="H29" s="50">
        <f t="shared" si="2"/>
        <v>0.0002148804397</v>
      </c>
      <c r="I29" s="51">
        <f t="shared" si="5"/>
        <v>0.01521105641</v>
      </c>
    </row>
    <row r="30">
      <c r="A30" s="7">
        <v>43353.0</v>
      </c>
      <c r="B30" s="11">
        <v>127.7145</v>
      </c>
      <c r="C30" s="65">
        <f t="shared" si="3"/>
        <v>-0.01102385741</v>
      </c>
      <c r="D30" s="42">
        <v>11438.1</v>
      </c>
      <c r="E30" s="40">
        <f t="shared" si="4"/>
        <v>-0.0130294846</v>
      </c>
      <c r="F30" s="43">
        <v>8.182</v>
      </c>
      <c r="G30" s="49">
        <f t="shared" si="1"/>
        <v>0.08182</v>
      </c>
      <c r="H30" s="50">
        <f t="shared" si="2"/>
        <v>0.0002154884417</v>
      </c>
      <c r="I30" s="51">
        <f t="shared" si="5"/>
        <v>0.002829489644</v>
      </c>
    </row>
    <row r="31">
      <c r="A31" s="7">
        <v>43354.0</v>
      </c>
      <c r="B31" s="11">
        <v>125.8607</v>
      </c>
      <c r="C31" s="65">
        <f t="shared" si="3"/>
        <v>-0.01451518817</v>
      </c>
      <c r="D31" s="42">
        <v>11287.5</v>
      </c>
      <c r="E31" s="40">
        <f t="shared" si="4"/>
        <v>-0.01316652241</v>
      </c>
      <c r="F31" s="43">
        <v>8.134</v>
      </c>
      <c r="G31" s="49">
        <f t="shared" si="1"/>
        <v>0.08134</v>
      </c>
      <c r="H31" s="50">
        <f t="shared" si="2"/>
        <v>0.0002142723032</v>
      </c>
      <c r="I31" s="51">
        <f t="shared" si="5"/>
        <v>-0.005643636882</v>
      </c>
    </row>
    <row r="32">
      <c r="A32" s="7">
        <v>43355.0</v>
      </c>
      <c r="B32" s="11">
        <v>125.9392</v>
      </c>
      <c r="C32" s="65">
        <f t="shared" si="3"/>
        <v>0.000623705414</v>
      </c>
      <c r="D32" s="42">
        <v>11369.9</v>
      </c>
      <c r="E32" s="40">
        <f t="shared" si="4"/>
        <v>0.007300110742</v>
      </c>
      <c r="F32" s="43">
        <v>8.127</v>
      </c>
      <c r="G32" s="49">
        <f t="shared" si="1"/>
        <v>0.08127</v>
      </c>
      <c r="H32" s="50">
        <f t="shared" si="2"/>
        <v>0.0002140949046</v>
      </c>
      <c r="I32" s="51">
        <f t="shared" si="5"/>
        <v>-0.0008279115393</v>
      </c>
    </row>
    <row r="33">
      <c r="A33" s="7">
        <v>43357.0</v>
      </c>
      <c r="B33" s="11">
        <v>127.4252</v>
      </c>
      <c r="C33" s="65">
        <f t="shared" si="3"/>
        <v>0.01179934445</v>
      </c>
      <c r="D33" s="42">
        <v>11515.2</v>
      </c>
      <c r="E33" s="40">
        <f t="shared" si="4"/>
        <v>0.01277935602</v>
      </c>
      <c r="F33" s="43">
        <v>8.124</v>
      </c>
      <c r="G33" s="49">
        <f t="shared" si="1"/>
        <v>0.08124</v>
      </c>
      <c r="H33" s="50">
        <f t="shared" si="2"/>
        <v>0.0002140188732</v>
      </c>
      <c r="I33" s="51">
        <f t="shared" si="5"/>
        <v>-0.0003551296092</v>
      </c>
    </row>
    <row r="34">
      <c r="A34" s="7">
        <v>43360.0</v>
      </c>
      <c r="B34" s="11">
        <v>126.2353</v>
      </c>
      <c r="C34" s="65">
        <f t="shared" si="3"/>
        <v>-0.009338027329</v>
      </c>
      <c r="D34" s="42">
        <v>11377.75</v>
      </c>
      <c r="E34" s="40">
        <f t="shared" si="4"/>
        <v>-0.01193639711</v>
      </c>
      <c r="F34" s="43">
        <v>8.098</v>
      </c>
      <c r="G34" s="49">
        <f t="shared" si="1"/>
        <v>0.08098</v>
      </c>
      <c r="H34" s="50">
        <f t="shared" si="2"/>
        <v>0.0002133598459</v>
      </c>
      <c r="I34" s="51">
        <f t="shared" si="5"/>
        <v>-0.003079295179</v>
      </c>
    </row>
    <row r="35">
      <c r="A35" s="7">
        <v>43361.0</v>
      </c>
      <c r="B35" s="11">
        <v>124.7904</v>
      </c>
      <c r="C35" s="65">
        <f t="shared" si="3"/>
        <v>-0.01144608521</v>
      </c>
      <c r="D35" s="42">
        <v>11278.9</v>
      </c>
      <c r="E35" s="40">
        <f t="shared" si="4"/>
        <v>-0.008688009492</v>
      </c>
      <c r="F35" s="43">
        <v>8.14</v>
      </c>
      <c r="G35" s="49">
        <f t="shared" si="1"/>
        <v>0.0814</v>
      </c>
      <c r="H35" s="50">
        <f t="shared" si="2"/>
        <v>0.0002144243499</v>
      </c>
      <c r="I35" s="51">
        <f t="shared" si="5"/>
        <v>0.004989242399</v>
      </c>
    </row>
    <row r="36">
      <c r="A36" s="7">
        <v>43362.0</v>
      </c>
      <c r="B36" s="11">
        <v>124.448</v>
      </c>
      <c r="C36" s="65">
        <f t="shared" si="3"/>
        <v>-0.002743800805</v>
      </c>
      <c r="D36" s="42">
        <v>11234.35</v>
      </c>
      <c r="E36" s="40">
        <f t="shared" si="4"/>
        <v>-0.003949853266</v>
      </c>
      <c r="F36" s="43">
        <v>8.074</v>
      </c>
      <c r="G36" s="49">
        <f t="shared" si="1"/>
        <v>0.08074</v>
      </c>
      <c r="H36" s="50">
        <f t="shared" si="2"/>
        <v>0.0002127513727</v>
      </c>
      <c r="I36" s="51">
        <f t="shared" si="5"/>
        <v>-0.007802179127</v>
      </c>
    </row>
    <row r="37">
      <c r="A37" s="7">
        <v>43364.0</v>
      </c>
      <c r="B37" s="11">
        <v>123.0288</v>
      </c>
      <c r="C37" s="65">
        <f t="shared" si="3"/>
        <v>-0.01140395989</v>
      </c>
      <c r="D37" s="42">
        <v>11143.1</v>
      </c>
      <c r="E37" s="40">
        <f t="shared" si="4"/>
        <v>-0.008122410286</v>
      </c>
      <c r="F37" s="43">
        <v>8.076</v>
      </c>
      <c r="G37" s="49">
        <f t="shared" si="1"/>
        <v>0.08076</v>
      </c>
      <c r="H37" s="50">
        <f t="shared" si="2"/>
        <v>0.000212802084</v>
      </c>
      <c r="I37" s="51">
        <f t="shared" si="5"/>
        <v>0.0002383591968</v>
      </c>
    </row>
    <row r="38">
      <c r="A38" s="7">
        <v>43367.0</v>
      </c>
      <c r="B38" s="11">
        <v>121.175</v>
      </c>
      <c r="C38" s="65">
        <f t="shared" si="3"/>
        <v>-0.01506801659</v>
      </c>
      <c r="D38" s="42">
        <v>10967.4</v>
      </c>
      <c r="E38" s="40">
        <f t="shared" si="4"/>
        <v>-0.01576760507</v>
      </c>
      <c r="F38" s="43">
        <v>8.122</v>
      </c>
      <c r="G38" s="49">
        <f t="shared" si="1"/>
        <v>0.08122</v>
      </c>
      <c r="H38" s="50">
        <f t="shared" si="2"/>
        <v>0.0002139681844</v>
      </c>
      <c r="I38" s="51">
        <f t="shared" si="5"/>
        <v>0.00547974164</v>
      </c>
    </row>
    <row r="39">
      <c r="A39" s="7">
        <v>43368.0</v>
      </c>
      <c r="B39" s="11">
        <v>122.1341</v>
      </c>
      <c r="C39" s="65">
        <f t="shared" si="3"/>
        <v>0.007914998968</v>
      </c>
      <c r="D39" s="42">
        <v>11067.45</v>
      </c>
      <c r="E39" s="40">
        <f t="shared" si="4"/>
        <v>0.009122490289</v>
      </c>
      <c r="F39" s="43">
        <v>8.125</v>
      </c>
      <c r="G39" s="49">
        <f t="shared" si="1"/>
        <v>0.08125</v>
      </c>
      <c r="H39" s="50">
        <f t="shared" si="2"/>
        <v>0.0002140442172</v>
      </c>
      <c r="I39" s="51">
        <f t="shared" si="5"/>
        <v>0.0003553464861</v>
      </c>
    </row>
    <row r="40">
      <c r="A40" s="7">
        <v>43369.0</v>
      </c>
      <c r="B40" s="11">
        <v>122.0516</v>
      </c>
      <c r="C40" s="65">
        <f t="shared" si="3"/>
        <v>-0.0006754870261</v>
      </c>
      <c r="D40" s="42">
        <v>11053.8</v>
      </c>
      <c r="E40" s="40">
        <f t="shared" si="4"/>
        <v>-0.001233346435</v>
      </c>
      <c r="F40" s="43">
        <v>8.072</v>
      </c>
      <c r="G40" s="49">
        <f t="shared" si="1"/>
        <v>0.08072</v>
      </c>
      <c r="H40" s="50">
        <f t="shared" si="2"/>
        <v>0.0002127006605</v>
      </c>
      <c r="I40" s="51">
        <f t="shared" si="5"/>
        <v>-0.00627700542</v>
      </c>
    </row>
    <row r="41">
      <c r="A41" s="7">
        <v>43370.0</v>
      </c>
      <c r="B41" s="11">
        <v>120.8325</v>
      </c>
      <c r="C41" s="65">
        <f t="shared" si="3"/>
        <v>-0.00998839835</v>
      </c>
      <c r="D41" s="42">
        <v>10977.55</v>
      </c>
      <c r="E41" s="40">
        <f t="shared" si="4"/>
        <v>-0.006898080298</v>
      </c>
      <c r="F41" s="43">
        <v>8.027</v>
      </c>
      <c r="G41" s="49">
        <f t="shared" si="1"/>
        <v>0.08027</v>
      </c>
      <c r="H41" s="50">
        <f t="shared" si="2"/>
        <v>0.0002115593889</v>
      </c>
      <c r="I41" s="51">
        <f t="shared" si="5"/>
        <v>-0.005365623218</v>
      </c>
    </row>
    <row r="42">
      <c r="A42" s="7">
        <v>43371.0</v>
      </c>
      <c r="B42" s="11">
        <v>120.0336</v>
      </c>
      <c r="C42" s="65">
        <f t="shared" si="3"/>
        <v>-0.006611631804</v>
      </c>
      <c r="D42" s="42">
        <v>10930.45</v>
      </c>
      <c r="E42" s="40">
        <f t="shared" si="4"/>
        <v>-0.004290574855</v>
      </c>
      <c r="F42" s="43">
        <v>8.024</v>
      </c>
      <c r="G42" s="49">
        <f t="shared" si="1"/>
        <v>0.08024</v>
      </c>
      <c r="H42" s="50">
        <f t="shared" si="2"/>
        <v>0.0002114832873</v>
      </c>
      <c r="I42" s="51">
        <f t="shared" si="5"/>
        <v>-0.0003597175728</v>
      </c>
    </row>
    <row r="43">
      <c r="A43" s="13">
        <v>43374.0</v>
      </c>
      <c r="B43" s="11">
        <v>120.7783</v>
      </c>
      <c r="C43" s="65">
        <f t="shared" si="3"/>
        <v>0.006204096186</v>
      </c>
      <c r="D43" s="42">
        <v>11008.3</v>
      </c>
      <c r="E43" s="40">
        <f t="shared" si="4"/>
        <v>0.00712230512</v>
      </c>
      <c r="F43" s="43">
        <v>7.988</v>
      </c>
      <c r="G43" s="49">
        <f t="shared" si="1"/>
        <v>0.07988</v>
      </c>
      <c r="H43" s="50">
        <f t="shared" si="2"/>
        <v>0.0002105699033</v>
      </c>
      <c r="I43" s="51">
        <f t="shared" si="5"/>
        <v>-0.004318941719</v>
      </c>
    </row>
    <row r="44">
      <c r="A44" s="13">
        <v>43376.0</v>
      </c>
      <c r="B44" s="11">
        <v>118.8571</v>
      </c>
      <c r="C44" s="65">
        <f t="shared" si="3"/>
        <v>-0.01590683095</v>
      </c>
      <c r="D44" s="42">
        <v>10858.25</v>
      </c>
      <c r="E44" s="40">
        <f t="shared" si="4"/>
        <v>-0.01363062417</v>
      </c>
      <c r="F44" s="43">
        <v>8.112</v>
      </c>
      <c r="G44" s="49">
        <f t="shared" si="1"/>
        <v>0.08112</v>
      </c>
      <c r="H44" s="50">
        <f t="shared" si="2"/>
        <v>0.0002137147264</v>
      </c>
      <c r="I44" s="51">
        <f t="shared" si="5"/>
        <v>0.01493481757</v>
      </c>
    </row>
    <row r="45">
      <c r="A45" s="13">
        <v>43377.0</v>
      </c>
      <c r="B45" s="11">
        <v>116.7601</v>
      </c>
      <c r="C45" s="65">
        <f t="shared" si="3"/>
        <v>-0.01764303521</v>
      </c>
      <c r="D45" s="42">
        <v>10599.25</v>
      </c>
      <c r="E45" s="40">
        <f t="shared" si="4"/>
        <v>-0.0238528308</v>
      </c>
      <c r="F45" s="43">
        <v>8.158</v>
      </c>
      <c r="G45" s="49">
        <f t="shared" si="1"/>
        <v>0.08158</v>
      </c>
      <c r="H45" s="50">
        <f t="shared" si="2"/>
        <v>0.0002148804397</v>
      </c>
      <c r="I45" s="51">
        <f t="shared" si="5"/>
        <v>0.005454529544</v>
      </c>
    </row>
    <row r="46">
      <c r="A46" s="13">
        <v>43378.0</v>
      </c>
      <c r="B46" s="11">
        <v>114.7549</v>
      </c>
      <c r="C46" s="65">
        <f t="shared" si="3"/>
        <v>-0.01717367491</v>
      </c>
      <c r="D46" s="42">
        <v>10316.45</v>
      </c>
      <c r="E46" s="40">
        <f t="shared" si="4"/>
        <v>-0.0266811331</v>
      </c>
      <c r="F46" s="43">
        <v>8.024</v>
      </c>
      <c r="G46" s="49">
        <f t="shared" si="1"/>
        <v>0.08024</v>
      </c>
      <c r="H46" s="50">
        <f t="shared" si="2"/>
        <v>0.0002114832873</v>
      </c>
      <c r="I46" s="51">
        <f t="shared" si="5"/>
        <v>-0.01580950036</v>
      </c>
    </row>
    <row r="47">
      <c r="A47" s="13">
        <v>43381.0</v>
      </c>
      <c r="B47" s="11">
        <v>114.4806</v>
      </c>
      <c r="C47" s="65">
        <f t="shared" si="3"/>
        <v>-0.002390311873</v>
      </c>
      <c r="D47" s="42">
        <v>10348.05</v>
      </c>
      <c r="E47" s="40">
        <f t="shared" si="4"/>
        <v>0.003063069176</v>
      </c>
      <c r="F47" s="43">
        <v>7.974</v>
      </c>
      <c r="G47" s="49">
        <f t="shared" si="1"/>
        <v>0.07974</v>
      </c>
      <c r="H47" s="50">
        <f t="shared" si="2"/>
        <v>0.0002102146164</v>
      </c>
      <c r="I47" s="51">
        <f t="shared" si="5"/>
        <v>-0.005998917948</v>
      </c>
    </row>
    <row r="48">
      <c r="A48" s="13">
        <v>43382.0</v>
      </c>
      <c r="B48" s="11">
        <v>113.7277</v>
      </c>
      <c r="C48" s="65">
        <f t="shared" si="3"/>
        <v>-0.00657666015</v>
      </c>
      <c r="D48" s="42">
        <v>10301.05</v>
      </c>
      <c r="E48" s="40">
        <f t="shared" si="4"/>
        <v>-0.004541918526</v>
      </c>
      <c r="F48" s="43">
        <v>8.076</v>
      </c>
      <c r="G48" s="49">
        <f t="shared" si="1"/>
        <v>0.08076</v>
      </c>
      <c r="H48" s="50">
        <f t="shared" si="2"/>
        <v>0.000212802084</v>
      </c>
      <c r="I48" s="51">
        <f t="shared" si="5"/>
        <v>0.01230869477</v>
      </c>
    </row>
    <row r="49">
      <c r="A49" s="7">
        <v>43383.0</v>
      </c>
      <c r="B49" s="11">
        <v>115.5162</v>
      </c>
      <c r="C49" s="65">
        <f t="shared" si="3"/>
        <v>0.01572615994</v>
      </c>
      <c r="D49" s="42">
        <v>10460.1</v>
      </c>
      <c r="E49" s="40">
        <f t="shared" si="4"/>
        <v>0.01544017357</v>
      </c>
      <c r="F49" s="43">
        <v>8.031</v>
      </c>
      <c r="G49" s="49">
        <f t="shared" si="1"/>
        <v>0.08031</v>
      </c>
      <c r="H49" s="50">
        <f t="shared" si="2"/>
        <v>0.0002116608545</v>
      </c>
      <c r="I49" s="51">
        <f t="shared" si="5"/>
        <v>-0.005362867923</v>
      </c>
    </row>
    <row r="50">
      <c r="A50" s="7">
        <v>43384.0</v>
      </c>
      <c r="B50" s="11">
        <v>113.137</v>
      </c>
      <c r="C50" s="65">
        <f t="shared" si="3"/>
        <v>-0.02059624538</v>
      </c>
      <c r="D50" s="42">
        <v>10234.65</v>
      </c>
      <c r="E50" s="40">
        <f t="shared" si="4"/>
        <v>-0.02155333123</v>
      </c>
      <c r="F50" s="43">
        <v>7.986</v>
      </c>
      <c r="G50" s="49">
        <f t="shared" si="1"/>
        <v>0.07986</v>
      </c>
      <c r="H50" s="50">
        <f t="shared" si="2"/>
        <v>0.0002105191509</v>
      </c>
      <c r="I50" s="51">
        <f t="shared" si="5"/>
        <v>-0.005394023588</v>
      </c>
    </row>
    <row r="51">
      <c r="A51" s="7">
        <v>43385.0</v>
      </c>
      <c r="B51" s="11">
        <v>115.3873</v>
      </c>
      <c r="C51" s="65">
        <f t="shared" si="3"/>
        <v>0.01989004481</v>
      </c>
      <c r="D51" s="42">
        <v>10472.5</v>
      </c>
      <c r="E51" s="40">
        <f t="shared" si="4"/>
        <v>0.02323968089</v>
      </c>
      <c r="F51" s="43">
        <v>7.984</v>
      </c>
      <c r="G51" s="49">
        <f t="shared" si="1"/>
        <v>0.07984</v>
      </c>
      <c r="H51" s="50">
        <f t="shared" si="2"/>
        <v>0.0002104683975</v>
      </c>
      <c r="I51" s="51">
        <f t="shared" si="5"/>
        <v>-0.0002410868357</v>
      </c>
    </row>
    <row r="52">
      <c r="A52" s="7">
        <v>43388.0</v>
      </c>
      <c r="B52" s="11">
        <v>115.7825</v>
      </c>
      <c r="C52" s="65">
        <f t="shared" si="3"/>
        <v>0.003424986979</v>
      </c>
      <c r="D52" s="42">
        <v>10512.5</v>
      </c>
      <c r="E52" s="40">
        <f t="shared" si="4"/>
        <v>0.003819527333</v>
      </c>
      <c r="F52" s="43">
        <v>7.921</v>
      </c>
      <c r="G52" s="49">
        <f t="shared" si="1"/>
        <v>0.07921</v>
      </c>
      <c r="H52" s="50">
        <f t="shared" si="2"/>
        <v>0.0002088691855</v>
      </c>
      <c r="I52" s="51">
        <f t="shared" si="5"/>
        <v>-0.007598347423</v>
      </c>
    </row>
    <row r="53">
      <c r="A53" s="7">
        <v>43389.0</v>
      </c>
      <c r="B53" s="11">
        <v>116.8168</v>
      </c>
      <c r="C53" s="65">
        <f t="shared" si="3"/>
        <v>0.008933128927</v>
      </c>
      <c r="D53" s="42">
        <v>10584.75</v>
      </c>
      <c r="E53" s="40">
        <f t="shared" si="4"/>
        <v>0.006872770511</v>
      </c>
      <c r="F53" s="43">
        <v>7.872</v>
      </c>
      <c r="G53" s="49">
        <f t="shared" si="1"/>
        <v>0.07872</v>
      </c>
      <c r="H53" s="50">
        <f t="shared" si="2"/>
        <v>0.0002076247101</v>
      </c>
      <c r="I53" s="51">
        <f t="shared" si="5"/>
        <v>-0.005958156741</v>
      </c>
    </row>
    <row r="54">
      <c r="A54" s="7">
        <v>43390.0</v>
      </c>
      <c r="B54" s="11">
        <v>115.2903</v>
      </c>
      <c r="C54" s="65">
        <f t="shared" si="3"/>
        <v>-0.01306746975</v>
      </c>
      <c r="D54" s="42">
        <v>10453.05</v>
      </c>
      <c r="E54" s="40">
        <f t="shared" si="4"/>
        <v>-0.01244242897</v>
      </c>
      <c r="F54" s="43">
        <v>7.909</v>
      </c>
      <c r="G54" s="49">
        <f t="shared" si="1"/>
        <v>0.07909</v>
      </c>
      <c r="H54" s="50">
        <f t="shared" si="2"/>
        <v>0.0002085644681</v>
      </c>
      <c r="I54" s="51">
        <f t="shared" si="5"/>
        <v>0.004526233805</v>
      </c>
    </row>
    <row r="55">
      <c r="A55" s="7">
        <v>43392.0</v>
      </c>
      <c r="B55" s="11">
        <v>114.167</v>
      </c>
      <c r="C55" s="65">
        <f t="shared" si="3"/>
        <v>-0.009743230784</v>
      </c>
      <c r="D55" s="42">
        <v>10303.55</v>
      </c>
      <c r="E55" s="40">
        <f t="shared" si="4"/>
        <v>-0.01430204581</v>
      </c>
      <c r="F55" s="43">
        <v>7.921</v>
      </c>
      <c r="G55" s="49">
        <f t="shared" si="1"/>
        <v>0.07921</v>
      </c>
      <c r="H55" s="50">
        <f t="shared" si="2"/>
        <v>0.0002088691855</v>
      </c>
      <c r="I55" s="51">
        <f t="shared" si="5"/>
        <v>0.001461022418</v>
      </c>
    </row>
    <row r="56">
      <c r="A56" s="7">
        <v>43395.0</v>
      </c>
      <c r="B56" s="11">
        <v>113.5121</v>
      </c>
      <c r="C56" s="65">
        <f t="shared" si="3"/>
        <v>-0.005736333617</v>
      </c>
      <c r="D56" s="42">
        <v>10245.25</v>
      </c>
      <c r="E56" s="40">
        <f t="shared" si="4"/>
        <v>-0.005658244003</v>
      </c>
      <c r="F56" s="43">
        <v>7.93</v>
      </c>
      <c r="G56" s="49">
        <f t="shared" si="1"/>
        <v>0.0793</v>
      </c>
      <c r="H56" s="50">
        <f t="shared" si="2"/>
        <v>0.0002090977013</v>
      </c>
      <c r="I56" s="51">
        <f t="shared" si="5"/>
        <v>0.00109406205</v>
      </c>
    </row>
    <row r="57">
      <c r="A57" s="7">
        <v>43396.0</v>
      </c>
      <c r="B57" s="11">
        <v>112.0928</v>
      </c>
      <c r="C57" s="65">
        <f t="shared" si="3"/>
        <v>-0.01250351284</v>
      </c>
      <c r="D57" s="42">
        <v>10146.8</v>
      </c>
      <c r="E57" s="40">
        <f t="shared" si="4"/>
        <v>-0.009609331153</v>
      </c>
      <c r="F57" s="43">
        <v>7.894</v>
      </c>
      <c r="G57" s="49">
        <f t="shared" si="1"/>
        <v>0.07894</v>
      </c>
      <c r="H57" s="50">
        <f t="shared" si="2"/>
        <v>0.0002081835239</v>
      </c>
      <c r="I57" s="51">
        <f t="shared" si="5"/>
        <v>-0.004372010963</v>
      </c>
    </row>
    <row r="58">
      <c r="A58" s="7">
        <v>43397.0</v>
      </c>
      <c r="B58" s="11">
        <v>112.8092</v>
      </c>
      <c r="C58" s="65">
        <f t="shared" si="3"/>
        <v>0.006391133061</v>
      </c>
      <c r="D58" s="42">
        <v>10224.75</v>
      </c>
      <c r="E58" s="40">
        <f t="shared" si="4"/>
        <v>0.007682224938</v>
      </c>
      <c r="F58" s="43">
        <v>7.872</v>
      </c>
      <c r="G58" s="49">
        <f t="shared" si="1"/>
        <v>0.07872</v>
      </c>
      <c r="H58" s="50">
        <f t="shared" si="2"/>
        <v>0.0002076247101</v>
      </c>
      <c r="I58" s="51">
        <f t="shared" si="5"/>
        <v>-0.002684236205</v>
      </c>
    </row>
    <row r="59">
      <c r="A59" s="7">
        <v>43398.0</v>
      </c>
      <c r="B59" s="11">
        <v>111.9395</v>
      </c>
      <c r="C59" s="65">
        <f t="shared" si="3"/>
        <v>-0.007709477596</v>
      </c>
      <c r="D59" s="42">
        <v>10124.9</v>
      </c>
      <c r="E59" s="40">
        <f t="shared" si="4"/>
        <v>-0.009765519939</v>
      </c>
      <c r="F59" s="43">
        <v>7.867</v>
      </c>
      <c r="G59" s="49">
        <f t="shared" si="1"/>
        <v>0.07867</v>
      </c>
      <c r="H59" s="50">
        <f t="shared" si="2"/>
        <v>0.0002074976911</v>
      </c>
      <c r="I59" s="51">
        <f t="shared" si="5"/>
        <v>-0.0006117719618</v>
      </c>
    </row>
    <row r="60">
      <c r="A60" s="7">
        <v>43399.0</v>
      </c>
      <c r="B60" s="11">
        <v>110.9889</v>
      </c>
      <c r="C60" s="65">
        <f t="shared" si="3"/>
        <v>-0.008492087244</v>
      </c>
      <c r="D60" s="42">
        <v>10030.0</v>
      </c>
      <c r="E60" s="40">
        <f t="shared" si="4"/>
        <v>-0.009372932078</v>
      </c>
      <c r="F60" s="43">
        <v>7.877</v>
      </c>
      <c r="G60" s="49">
        <f t="shared" si="1"/>
        <v>0.07877</v>
      </c>
      <c r="H60" s="50">
        <f t="shared" si="2"/>
        <v>0.0002077517232</v>
      </c>
      <c r="I60" s="51">
        <f t="shared" si="5"/>
        <v>0.001224264615</v>
      </c>
    </row>
    <row r="61">
      <c r="A61" s="7">
        <v>43402.0</v>
      </c>
      <c r="B61" s="11">
        <v>113.5258</v>
      </c>
      <c r="C61" s="65">
        <f t="shared" si="3"/>
        <v>0.02285724068</v>
      </c>
      <c r="D61" s="42">
        <v>10250.85</v>
      </c>
      <c r="E61" s="40">
        <f t="shared" si="4"/>
        <v>0.02201894317</v>
      </c>
      <c r="F61" s="43">
        <v>7.81</v>
      </c>
      <c r="G61" s="49">
        <f t="shared" si="1"/>
        <v>0.0781</v>
      </c>
      <c r="H61" s="50">
        <f t="shared" si="2"/>
        <v>0.0002060492597</v>
      </c>
      <c r="I61" s="51">
        <f t="shared" si="5"/>
        <v>-0.008194702464</v>
      </c>
    </row>
    <row r="62">
      <c r="A62" s="7">
        <v>43403.0</v>
      </c>
      <c r="B62" s="11">
        <v>113.3631</v>
      </c>
      <c r="C62" s="65">
        <f t="shared" si="3"/>
        <v>-0.001433154402</v>
      </c>
      <c r="D62" s="42">
        <v>10198.4</v>
      </c>
      <c r="E62" s="40">
        <f t="shared" si="4"/>
        <v>-0.005116648863</v>
      </c>
      <c r="F62" s="43">
        <v>7.834</v>
      </c>
      <c r="G62" s="49">
        <f t="shared" si="1"/>
        <v>0.07834</v>
      </c>
      <c r="H62" s="50">
        <f t="shared" si="2"/>
        <v>0.0002066592186</v>
      </c>
      <c r="I62" s="51">
        <f t="shared" si="5"/>
        <v>0.002960257885</v>
      </c>
    </row>
    <row r="63">
      <c r="A63" s="7">
        <v>43404.0</v>
      </c>
      <c r="B63" s="11">
        <v>115.4569</v>
      </c>
      <c r="C63" s="65">
        <f t="shared" si="3"/>
        <v>0.01846985483</v>
      </c>
      <c r="D63" s="42">
        <v>10386.6</v>
      </c>
      <c r="E63" s="40">
        <f t="shared" si="4"/>
        <v>0.01845387512</v>
      </c>
      <c r="F63" s="43">
        <v>7.853</v>
      </c>
      <c r="G63" s="49">
        <f t="shared" si="1"/>
        <v>0.07853</v>
      </c>
      <c r="H63" s="50">
        <f t="shared" si="2"/>
        <v>0.0002071420068</v>
      </c>
      <c r="I63" s="51">
        <f t="shared" si="5"/>
        <v>0.00233615593</v>
      </c>
    </row>
    <row r="64">
      <c r="A64" s="13">
        <v>43405.0</v>
      </c>
      <c r="B64" s="11">
        <v>115.8029</v>
      </c>
      <c r="C64" s="65">
        <f t="shared" si="3"/>
        <v>0.002996789278</v>
      </c>
      <c r="D64" s="42">
        <v>10380.45</v>
      </c>
      <c r="E64" s="40">
        <f t="shared" si="4"/>
        <v>-0.0005921090636</v>
      </c>
      <c r="F64" s="43">
        <v>7.823</v>
      </c>
      <c r="G64" s="49">
        <f t="shared" si="1"/>
        <v>0.07823</v>
      </c>
      <c r="H64" s="50">
        <f t="shared" si="2"/>
        <v>0.0002063796709</v>
      </c>
      <c r="I64" s="51">
        <f t="shared" si="5"/>
        <v>-0.003680257232</v>
      </c>
    </row>
    <row r="65">
      <c r="A65" s="13">
        <v>43406.0</v>
      </c>
      <c r="B65" s="11">
        <v>117.2686</v>
      </c>
      <c r="C65" s="65">
        <f t="shared" si="3"/>
        <v>0.01265685056</v>
      </c>
      <c r="D65" s="42">
        <v>10553.0</v>
      </c>
      <c r="E65" s="40">
        <f t="shared" si="4"/>
        <v>0.01662259343</v>
      </c>
      <c r="F65" s="43">
        <v>7.781</v>
      </c>
      <c r="G65" s="49">
        <f t="shared" si="1"/>
        <v>0.07781</v>
      </c>
      <c r="H65" s="50">
        <f t="shared" si="2"/>
        <v>0.0002053120452</v>
      </c>
      <c r="I65" s="51">
        <f t="shared" si="5"/>
        <v>-0.005173114442</v>
      </c>
    </row>
    <row r="66">
      <c r="A66" s="13">
        <v>43409.0</v>
      </c>
      <c r="B66" s="11">
        <v>116.7852</v>
      </c>
      <c r="C66" s="65">
        <f t="shared" si="3"/>
        <v>-0.004122160578</v>
      </c>
      <c r="D66" s="42">
        <v>10524.0</v>
      </c>
      <c r="E66" s="40">
        <f t="shared" si="4"/>
        <v>-0.002748033734</v>
      </c>
      <c r="F66" s="43">
        <v>7.808</v>
      </c>
      <c r="G66" s="49">
        <f t="shared" si="1"/>
        <v>0.07808</v>
      </c>
      <c r="H66" s="50">
        <f t="shared" si="2"/>
        <v>0.0002059984236</v>
      </c>
      <c r="I66" s="51">
        <f t="shared" si="5"/>
        <v>0.003343098525</v>
      </c>
    </row>
    <row r="67">
      <c r="A67" s="13">
        <v>43410.0</v>
      </c>
      <c r="B67" s="11">
        <v>116.7328</v>
      </c>
      <c r="C67" s="65">
        <f t="shared" si="3"/>
        <v>-0.0004486869912</v>
      </c>
      <c r="D67" s="42">
        <v>10530.0</v>
      </c>
      <c r="E67" s="40">
        <f t="shared" si="4"/>
        <v>0.0005701254276</v>
      </c>
      <c r="F67" s="43">
        <v>7.796</v>
      </c>
      <c r="G67" s="49">
        <f t="shared" si="1"/>
        <v>0.07796</v>
      </c>
      <c r="H67" s="50">
        <f t="shared" si="2"/>
        <v>0.0002056933877</v>
      </c>
      <c r="I67" s="51">
        <f t="shared" si="5"/>
        <v>-0.001480768119</v>
      </c>
    </row>
    <row r="68">
      <c r="A68" s="13">
        <v>43413.0</v>
      </c>
      <c r="B68" s="11">
        <v>117.7808</v>
      </c>
      <c r="C68" s="65">
        <f t="shared" si="3"/>
        <v>0.008977768031</v>
      </c>
      <c r="D68" s="42">
        <v>10585.2</v>
      </c>
      <c r="E68" s="40">
        <f t="shared" si="4"/>
        <v>0.005242165242</v>
      </c>
      <c r="F68" s="43">
        <v>7.765</v>
      </c>
      <c r="G68" s="49">
        <f t="shared" si="1"/>
        <v>0.07765</v>
      </c>
      <c r="H68" s="50">
        <f t="shared" si="2"/>
        <v>0.0002049052216</v>
      </c>
      <c r="I68" s="51">
        <f t="shared" si="5"/>
        <v>-0.00383175258</v>
      </c>
    </row>
    <row r="69">
      <c r="A69" s="7">
        <v>43416.0</v>
      </c>
      <c r="B69" s="11">
        <v>116.9558</v>
      </c>
      <c r="C69" s="65">
        <f t="shared" si="3"/>
        <v>-0.007004537242</v>
      </c>
      <c r="D69" s="42">
        <v>10482.2</v>
      </c>
      <c r="E69" s="40">
        <f t="shared" si="4"/>
        <v>-0.009730567207</v>
      </c>
      <c r="F69" s="43">
        <v>7.804</v>
      </c>
      <c r="G69" s="49">
        <f t="shared" si="1"/>
        <v>0.07804</v>
      </c>
      <c r="H69" s="50">
        <f t="shared" si="2"/>
        <v>0.0002058967488</v>
      </c>
      <c r="I69" s="51">
        <f t="shared" si="5"/>
        <v>0.004838955248</v>
      </c>
    </row>
    <row r="70">
      <c r="A70" s="7">
        <v>43417.0</v>
      </c>
      <c r="B70" s="11">
        <v>117.7704</v>
      </c>
      <c r="C70" s="65">
        <f t="shared" si="3"/>
        <v>0.006965024394</v>
      </c>
      <c r="D70" s="42">
        <v>10582.5</v>
      </c>
      <c r="E70" s="40">
        <f t="shared" si="4"/>
        <v>0.009568602011</v>
      </c>
      <c r="F70" s="43">
        <v>7.762</v>
      </c>
      <c r="G70" s="49">
        <f t="shared" si="1"/>
        <v>0.07762</v>
      </c>
      <c r="H70" s="50">
        <f t="shared" si="2"/>
        <v>0.0002048289354</v>
      </c>
      <c r="I70" s="51">
        <f t="shared" si="5"/>
        <v>-0.005186159316</v>
      </c>
    </row>
    <row r="71">
      <c r="A71" s="7">
        <v>43418.0</v>
      </c>
      <c r="B71" s="11">
        <v>117.5213</v>
      </c>
      <c r="C71" s="65">
        <f t="shared" si="3"/>
        <v>-0.002115132495</v>
      </c>
      <c r="D71" s="42">
        <v>10576.3</v>
      </c>
      <c r="E71" s="40">
        <f t="shared" si="4"/>
        <v>-0.0005858729034</v>
      </c>
      <c r="F71" s="43">
        <v>7.733</v>
      </c>
      <c r="G71" s="49">
        <f t="shared" si="1"/>
        <v>0.07733</v>
      </c>
      <c r="H71" s="50">
        <f t="shared" si="2"/>
        <v>0.0002040913935</v>
      </c>
      <c r="I71" s="51">
        <f t="shared" si="5"/>
        <v>-0.003600770259</v>
      </c>
    </row>
    <row r="72">
      <c r="A72" s="7">
        <v>43419.0</v>
      </c>
      <c r="B72" s="11">
        <v>118.2248</v>
      </c>
      <c r="C72" s="65">
        <f t="shared" si="3"/>
        <v>0.005986148894</v>
      </c>
      <c r="D72" s="42">
        <v>10616.7</v>
      </c>
      <c r="E72" s="40">
        <f t="shared" si="4"/>
        <v>0.003819861388</v>
      </c>
      <c r="F72" s="43">
        <v>7.756</v>
      </c>
      <c r="G72" s="49">
        <f t="shared" si="1"/>
        <v>0.07756</v>
      </c>
      <c r="H72" s="50">
        <f t="shared" si="2"/>
        <v>0.0002046763568</v>
      </c>
      <c r="I72" s="51">
        <f t="shared" si="5"/>
        <v>0.002866183068</v>
      </c>
    </row>
    <row r="73">
      <c r="A73" s="7">
        <v>43420.0</v>
      </c>
      <c r="B73" s="11">
        <v>118.545</v>
      </c>
      <c r="C73" s="65">
        <f t="shared" si="3"/>
        <v>0.002708399591</v>
      </c>
      <c r="D73" s="42">
        <v>10682.2</v>
      </c>
      <c r="E73" s="40">
        <f t="shared" si="4"/>
        <v>0.00616952537</v>
      </c>
      <c r="F73" s="43">
        <v>7.815</v>
      </c>
      <c r="G73" s="49">
        <f t="shared" si="1"/>
        <v>0.07815</v>
      </c>
      <c r="H73" s="50">
        <f t="shared" si="2"/>
        <v>0.0002061763456</v>
      </c>
      <c r="I73" s="51">
        <f t="shared" si="5"/>
        <v>0.007328588651</v>
      </c>
    </row>
    <row r="74">
      <c r="A74" s="7">
        <v>43423.0</v>
      </c>
      <c r="B74" s="11">
        <v>119.328</v>
      </c>
      <c r="C74" s="65">
        <f t="shared" si="3"/>
        <v>0.006605086676</v>
      </c>
      <c r="D74" s="42">
        <v>10763.4</v>
      </c>
      <c r="E74" s="40">
        <f t="shared" si="4"/>
        <v>0.007601430417</v>
      </c>
      <c r="F74" s="43">
        <v>7.791</v>
      </c>
      <c r="G74" s="49">
        <f t="shared" si="1"/>
        <v>0.07791</v>
      </c>
      <c r="H74" s="50">
        <f t="shared" si="2"/>
        <v>0.0002055662794</v>
      </c>
      <c r="I74" s="51">
        <f t="shared" si="5"/>
        <v>-0.002958953186</v>
      </c>
    </row>
    <row r="75">
      <c r="A75" s="7">
        <v>43424.0</v>
      </c>
      <c r="B75" s="11">
        <v>118.3486</v>
      </c>
      <c r="C75" s="65">
        <f t="shared" si="3"/>
        <v>-0.008207629391</v>
      </c>
      <c r="D75" s="42">
        <v>10656.2</v>
      </c>
      <c r="E75" s="40">
        <f t="shared" si="4"/>
        <v>-0.009959678169</v>
      </c>
      <c r="F75" s="43">
        <v>7.792</v>
      </c>
      <c r="G75" s="49">
        <f t="shared" si="1"/>
        <v>0.07792</v>
      </c>
      <c r="H75" s="50">
        <f t="shared" si="2"/>
        <v>0.0002055917016</v>
      </c>
      <c r="I75" s="51">
        <f t="shared" si="5"/>
        <v>0.0001236687631</v>
      </c>
    </row>
    <row r="76">
      <c r="A76" s="7">
        <v>43425.0</v>
      </c>
      <c r="B76" s="11">
        <v>118.0356</v>
      </c>
      <c r="C76" s="65">
        <f t="shared" si="3"/>
        <v>-0.002644729215</v>
      </c>
      <c r="D76" s="42">
        <v>10526.75</v>
      </c>
      <c r="E76" s="40">
        <f t="shared" si="4"/>
        <v>-0.01214785759</v>
      </c>
      <c r="F76" s="43">
        <v>7.71</v>
      </c>
      <c r="G76" s="49">
        <f t="shared" si="1"/>
        <v>0.0771</v>
      </c>
      <c r="H76" s="50">
        <f t="shared" si="2"/>
        <v>0.0002035063056</v>
      </c>
      <c r="I76" s="51">
        <f t="shared" si="5"/>
        <v>-0.0101433858</v>
      </c>
    </row>
    <row r="77">
      <c r="A77" s="7">
        <v>43426.0</v>
      </c>
      <c r="B77" s="11">
        <v>117.199</v>
      </c>
      <c r="C77" s="65">
        <f t="shared" si="3"/>
        <v>-0.007087692188</v>
      </c>
      <c r="D77" s="42">
        <v>10628.6</v>
      </c>
      <c r="E77" s="40">
        <f t="shared" si="4"/>
        <v>0.009675350892</v>
      </c>
      <c r="F77" s="43">
        <v>7.726</v>
      </c>
      <c r="G77" s="49">
        <f t="shared" si="1"/>
        <v>0.07726</v>
      </c>
      <c r="H77" s="50">
        <f t="shared" si="2"/>
        <v>0.0002039133364</v>
      </c>
      <c r="I77" s="51">
        <f t="shared" si="5"/>
        <v>0.002000089492</v>
      </c>
    </row>
    <row r="78">
      <c r="A78" s="7">
        <v>43430.0</v>
      </c>
      <c r="B78" s="11">
        <v>118.2616</v>
      </c>
      <c r="C78" s="65">
        <f t="shared" si="3"/>
        <v>0.009066630261</v>
      </c>
      <c r="D78" s="42">
        <v>10685.6</v>
      </c>
      <c r="E78" s="40">
        <f t="shared" si="4"/>
        <v>0.005362888809</v>
      </c>
      <c r="F78" s="43">
        <v>7.734</v>
      </c>
      <c r="G78" s="49">
        <f t="shared" si="1"/>
        <v>0.07734</v>
      </c>
      <c r="H78" s="50">
        <f t="shared" si="2"/>
        <v>0.0002041168293</v>
      </c>
      <c r="I78" s="51">
        <f t="shared" si="5"/>
        <v>0.0009979376911</v>
      </c>
    </row>
    <row r="79">
      <c r="A79" s="7">
        <v>43431.0</v>
      </c>
      <c r="B79" s="11">
        <v>118.6733</v>
      </c>
      <c r="C79" s="65">
        <f t="shared" si="3"/>
        <v>0.003481265263</v>
      </c>
      <c r="D79" s="42">
        <v>10728.85</v>
      </c>
      <c r="E79" s="40">
        <f t="shared" si="4"/>
        <v>0.004047503182</v>
      </c>
      <c r="F79" s="43">
        <v>7.644</v>
      </c>
      <c r="G79" s="49">
        <f t="shared" si="1"/>
        <v>0.07644</v>
      </c>
      <c r="H79" s="50">
        <f t="shared" si="2"/>
        <v>0.0002018266659</v>
      </c>
      <c r="I79" s="51">
        <f t="shared" si="5"/>
        <v>-0.01121986557</v>
      </c>
    </row>
    <row r="80">
      <c r="A80" s="7">
        <v>43432.0</v>
      </c>
      <c r="B80" s="11">
        <v>119.0293</v>
      </c>
      <c r="C80" s="65">
        <f t="shared" si="3"/>
        <v>0.002999832313</v>
      </c>
      <c r="D80" s="42">
        <v>10858.7</v>
      </c>
      <c r="E80" s="40">
        <f t="shared" si="4"/>
        <v>0.01210288148</v>
      </c>
      <c r="F80" s="43">
        <v>7.608</v>
      </c>
      <c r="G80" s="49">
        <f t="shared" si="1"/>
        <v>0.07608</v>
      </c>
      <c r="H80" s="50">
        <f t="shared" si="2"/>
        <v>0.0002009100658</v>
      </c>
      <c r="I80" s="51">
        <f t="shared" si="5"/>
        <v>-0.004541521131</v>
      </c>
    </row>
    <row r="81">
      <c r="A81" s="7">
        <v>43433.0</v>
      </c>
      <c r="B81" s="11">
        <v>120.1394</v>
      </c>
      <c r="C81" s="65">
        <f t="shared" si="3"/>
        <v>0.009326275127</v>
      </c>
      <c r="D81" s="42">
        <v>10876.75</v>
      </c>
      <c r="E81" s="40">
        <f t="shared" si="4"/>
        <v>0.001662261597</v>
      </c>
      <c r="F81" s="43">
        <v>7.607</v>
      </c>
      <c r="G81" s="49">
        <f t="shared" si="1"/>
        <v>0.07607</v>
      </c>
      <c r="H81" s="50">
        <f t="shared" si="2"/>
        <v>0.0002008846003</v>
      </c>
      <c r="I81" s="51">
        <f t="shared" si="5"/>
        <v>-0.0001267506327</v>
      </c>
    </row>
    <row r="82">
      <c r="A82" s="7">
        <v>43434.0</v>
      </c>
      <c r="B82" s="11">
        <v>120.4238</v>
      </c>
      <c r="C82" s="65">
        <f t="shared" si="3"/>
        <v>0.002367250045</v>
      </c>
      <c r="D82" s="42">
        <v>10883.75</v>
      </c>
      <c r="E82" s="40">
        <f t="shared" si="4"/>
        <v>0.0006435745972</v>
      </c>
      <c r="F82" s="43">
        <v>7.626</v>
      </c>
      <c r="G82" s="49">
        <f t="shared" si="1"/>
        <v>0.07626</v>
      </c>
      <c r="H82" s="50">
        <f t="shared" si="2"/>
        <v>0.0002013684041</v>
      </c>
      <c r="I82" s="51">
        <f t="shared" si="5"/>
        <v>0.002408366448</v>
      </c>
    </row>
    <row r="83">
      <c r="A83" s="13">
        <v>43437.0</v>
      </c>
      <c r="B83" s="11">
        <v>120.5137</v>
      </c>
      <c r="C83" s="65">
        <f t="shared" si="3"/>
        <v>0.0007465301709</v>
      </c>
      <c r="D83" s="42">
        <v>10869.5</v>
      </c>
      <c r="E83" s="40">
        <f t="shared" si="4"/>
        <v>-0.001309291375</v>
      </c>
      <c r="F83" s="43">
        <v>7.574</v>
      </c>
      <c r="G83" s="49">
        <f t="shared" si="1"/>
        <v>0.07574</v>
      </c>
      <c r="H83" s="50">
        <f t="shared" si="2"/>
        <v>0.0002000441071</v>
      </c>
      <c r="I83" s="51">
        <f t="shared" si="5"/>
        <v>-0.006576488198</v>
      </c>
    </row>
    <row r="84">
      <c r="A84" s="13">
        <v>43438.0</v>
      </c>
      <c r="B84" s="11">
        <v>120.4938</v>
      </c>
      <c r="C84" s="65">
        <f t="shared" si="3"/>
        <v>-0.0001651264545</v>
      </c>
      <c r="D84" s="42">
        <v>10782.9</v>
      </c>
      <c r="E84" s="40">
        <f t="shared" si="4"/>
        <v>-0.007967247803</v>
      </c>
      <c r="F84" s="43">
        <v>7.44</v>
      </c>
      <c r="G84" s="49">
        <f t="shared" si="1"/>
        <v>0.0744</v>
      </c>
      <c r="H84" s="50">
        <f t="shared" si="2"/>
        <v>0.0001966285514</v>
      </c>
      <c r="I84" s="51">
        <f t="shared" si="5"/>
        <v>-0.01707401319</v>
      </c>
    </row>
    <row r="85">
      <c r="A85" s="13">
        <v>43439.0</v>
      </c>
      <c r="B85" s="11">
        <v>119.081</v>
      </c>
      <c r="C85" s="65">
        <f t="shared" si="3"/>
        <v>-0.01172508461</v>
      </c>
      <c r="D85" s="42">
        <v>10601.15</v>
      </c>
      <c r="E85" s="40">
        <f t="shared" si="4"/>
        <v>-0.01685539141</v>
      </c>
      <c r="F85" s="43">
        <v>7.423</v>
      </c>
      <c r="G85" s="49">
        <f t="shared" si="1"/>
        <v>0.07423</v>
      </c>
      <c r="H85" s="50">
        <f t="shared" si="2"/>
        <v>0.000196194931</v>
      </c>
      <c r="I85" s="51">
        <f t="shared" si="5"/>
        <v>-0.002205276912</v>
      </c>
    </row>
    <row r="86">
      <c r="A86" s="13">
        <v>43440.0</v>
      </c>
      <c r="B86" s="11">
        <v>117.2224</v>
      </c>
      <c r="C86" s="65">
        <f t="shared" si="3"/>
        <v>-0.01560786356</v>
      </c>
      <c r="D86" s="42">
        <v>10693.7</v>
      </c>
      <c r="E86" s="40">
        <f t="shared" si="4"/>
        <v>0.008730184933</v>
      </c>
      <c r="F86" s="43">
        <v>7.464</v>
      </c>
      <c r="G86" s="49">
        <f t="shared" si="1"/>
        <v>0.07464</v>
      </c>
      <c r="H86" s="50">
        <f t="shared" si="2"/>
        <v>0.0001972406049</v>
      </c>
      <c r="I86" s="51">
        <f t="shared" si="5"/>
        <v>0.005329770307</v>
      </c>
    </row>
    <row r="87">
      <c r="A87" s="13">
        <v>43441.0</v>
      </c>
      <c r="B87" s="11">
        <v>118.0242</v>
      </c>
      <c r="C87" s="65">
        <f t="shared" si="3"/>
        <v>0.006839989627</v>
      </c>
      <c r="D87" s="42">
        <v>10488.45</v>
      </c>
      <c r="E87" s="40">
        <f t="shared" si="4"/>
        <v>-0.01919354386</v>
      </c>
      <c r="F87" s="43">
        <v>7.587</v>
      </c>
      <c r="G87" s="49">
        <f t="shared" si="1"/>
        <v>0.07587</v>
      </c>
      <c r="H87" s="50">
        <f t="shared" si="2"/>
        <v>0.0002003752412</v>
      </c>
      <c r="I87" s="51">
        <f t="shared" si="5"/>
        <v>0.01589244915</v>
      </c>
    </row>
    <row r="88">
      <c r="A88" s="7">
        <v>43444.0</v>
      </c>
      <c r="B88" s="11">
        <v>115.9982</v>
      </c>
      <c r="C88" s="65">
        <f t="shared" si="3"/>
        <v>-0.01716597105</v>
      </c>
      <c r="D88" s="42">
        <v>10549.15</v>
      </c>
      <c r="E88" s="40">
        <f t="shared" si="4"/>
        <v>0.005787318431</v>
      </c>
      <c r="F88" s="43">
        <v>7.528</v>
      </c>
      <c r="G88" s="49">
        <f t="shared" si="1"/>
        <v>0.07528</v>
      </c>
      <c r="H88" s="50">
        <f t="shared" si="2"/>
        <v>0.0001988720814</v>
      </c>
      <c r="I88" s="51">
        <f t="shared" si="5"/>
        <v>-0.0075017241</v>
      </c>
    </row>
    <row r="89">
      <c r="A89" s="7">
        <v>43445.0</v>
      </c>
      <c r="B89" s="11">
        <v>116.647</v>
      </c>
      <c r="C89" s="65">
        <f t="shared" si="3"/>
        <v>0.005593190239</v>
      </c>
      <c r="D89" s="42">
        <v>10737.6</v>
      </c>
      <c r="E89" s="40">
        <f t="shared" si="4"/>
        <v>0.01786399852</v>
      </c>
      <c r="F89" s="43">
        <v>7.411</v>
      </c>
      <c r="G89" s="49">
        <f t="shared" si="1"/>
        <v>0.07411</v>
      </c>
      <c r="H89" s="50">
        <f t="shared" si="2"/>
        <v>0.0001958888048</v>
      </c>
      <c r="I89" s="51">
        <f t="shared" si="5"/>
        <v>-0.01500098254</v>
      </c>
    </row>
    <row r="90">
      <c r="A90" s="7">
        <v>43446.0</v>
      </c>
      <c r="B90" s="11">
        <v>119.0188</v>
      </c>
      <c r="C90" s="65">
        <f t="shared" si="3"/>
        <v>0.02033314187</v>
      </c>
      <c r="D90" s="42">
        <v>10791.55</v>
      </c>
      <c r="E90" s="40">
        <f t="shared" si="4"/>
        <v>0.005024400238</v>
      </c>
      <c r="F90" s="43">
        <v>7.408</v>
      </c>
      <c r="G90" s="49">
        <f t="shared" si="1"/>
        <v>0.07408</v>
      </c>
      <c r="H90" s="50">
        <f t="shared" si="2"/>
        <v>0.0001958122679</v>
      </c>
      <c r="I90" s="51">
        <f t="shared" si="5"/>
        <v>-0.0003907159383</v>
      </c>
    </row>
    <row r="91">
      <c r="A91" s="7">
        <v>43447.0</v>
      </c>
      <c r="B91" s="11">
        <v>119.6516</v>
      </c>
      <c r="C91" s="65">
        <f t="shared" si="3"/>
        <v>0.005316807093</v>
      </c>
      <c r="D91" s="42">
        <v>10805.45</v>
      </c>
      <c r="E91" s="40">
        <f t="shared" si="4"/>
        <v>0.001288044813</v>
      </c>
      <c r="F91" s="43">
        <v>7.441</v>
      </c>
      <c r="G91" s="49">
        <f t="shared" si="1"/>
        <v>0.07441</v>
      </c>
      <c r="H91" s="50">
        <f t="shared" si="2"/>
        <v>0.0001966540564</v>
      </c>
      <c r="I91" s="51">
        <f t="shared" si="5"/>
        <v>0.004298956544</v>
      </c>
    </row>
    <row r="92">
      <c r="A92" s="7">
        <v>43448.0</v>
      </c>
      <c r="B92" s="11">
        <v>120.0148</v>
      </c>
      <c r="C92" s="65">
        <f t="shared" si="3"/>
        <v>0.003035479676</v>
      </c>
      <c r="D92" s="42">
        <v>10888.35</v>
      </c>
      <c r="E92" s="40">
        <f t="shared" si="4"/>
        <v>0.00767205438</v>
      </c>
      <c r="F92" s="43">
        <v>7.461</v>
      </c>
      <c r="G92" s="49">
        <f t="shared" si="1"/>
        <v>0.07461</v>
      </c>
      <c r="H92" s="50">
        <f t="shared" si="2"/>
        <v>0.0001971641057</v>
      </c>
      <c r="I92" s="51">
        <f t="shared" si="5"/>
        <v>0.002593637459</v>
      </c>
    </row>
    <row r="93">
      <c r="A93" s="7">
        <v>43451.0</v>
      </c>
      <c r="B93" s="11">
        <v>120.6886</v>
      </c>
      <c r="C93" s="65">
        <f t="shared" si="3"/>
        <v>0.005614307569</v>
      </c>
      <c r="D93" s="42">
        <v>10908.7</v>
      </c>
      <c r="E93" s="40">
        <f t="shared" si="4"/>
        <v>0.001868970046</v>
      </c>
      <c r="F93" s="43">
        <v>7.345</v>
      </c>
      <c r="G93" s="49">
        <f t="shared" si="1"/>
        <v>0.07345</v>
      </c>
      <c r="H93" s="50">
        <f t="shared" si="2"/>
        <v>0.0001942045008</v>
      </c>
      <c r="I93" s="51">
        <f t="shared" si="5"/>
        <v>-0.01501087048</v>
      </c>
    </row>
    <row r="94">
      <c r="A94" s="7">
        <v>43452.0</v>
      </c>
      <c r="B94" s="11">
        <v>120.9728</v>
      </c>
      <c r="C94" s="65">
        <f t="shared" si="3"/>
        <v>0.002354820588</v>
      </c>
      <c r="D94" s="42">
        <v>10967.3</v>
      </c>
      <c r="E94" s="40">
        <f t="shared" si="4"/>
        <v>0.005371859158</v>
      </c>
      <c r="F94" s="43">
        <v>7.219</v>
      </c>
      <c r="G94" s="49">
        <f t="shared" si="1"/>
        <v>0.07219</v>
      </c>
      <c r="H94" s="50">
        <f t="shared" si="2"/>
        <v>0.0001909861417</v>
      </c>
      <c r="I94" s="51">
        <f t="shared" si="5"/>
        <v>-0.01657201103</v>
      </c>
    </row>
    <row r="95">
      <c r="A95" s="7">
        <v>43453.0</v>
      </c>
      <c r="B95" s="11">
        <v>121.6732</v>
      </c>
      <c r="C95" s="65">
        <f t="shared" si="3"/>
        <v>0.005789731245</v>
      </c>
      <c r="D95" s="42">
        <v>10951.7</v>
      </c>
      <c r="E95" s="40">
        <f t="shared" si="4"/>
        <v>-0.001422410256</v>
      </c>
      <c r="F95" s="43">
        <v>7.272</v>
      </c>
      <c r="G95" s="49">
        <f t="shared" si="1"/>
        <v>0.07272</v>
      </c>
      <c r="H95" s="50">
        <f t="shared" si="2"/>
        <v>0.0001923403553</v>
      </c>
      <c r="I95" s="51">
        <f t="shared" si="5"/>
        <v>0.007090637951</v>
      </c>
    </row>
    <row r="96">
      <c r="A96" s="7">
        <v>43454.0</v>
      </c>
      <c r="B96" s="11">
        <v>121.4493</v>
      </c>
      <c r="C96" s="65">
        <f t="shared" si="3"/>
        <v>-0.001840175158</v>
      </c>
      <c r="D96" s="42">
        <v>10754.0</v>
      </c>
      <c r="E96" s="40">
        <f t="shared" si="4"/>
        <v>-0.01805199193</v>
      </c>
      <c r="F96" s="43">
        <v>7.276</v>
      </c>
      <c r="G96" s="49">
        <f t="shared" si="1"/>
        <v>0.07276</v>
      </c>
      <c r="H96" s="50">
        <f t="shared" si="2"/>
        <v>0.000192442533</v>
      </c>
      <c r="I96" s="51">
        <f t="shared" si="5"/>
        <v>0.0005312339052</v>
      </c>
    </row>
    <row r="97">
      <c r="A97" s="7">
        <v>43455.0</v>
      </c>
      <c r="B97" s="11">
        <v>119.2534</v>
      </c>
      <c r="C97" s="65">
        <f t="shared" si="3"/>
        <v>-0.01808079585</v>
      </c>
      <c r="D97" s="42">
        <v>10663.5</v>
      </c>
      <c r="E97" s="40">
        <f t="shared" si="4"/>
        <v>-0.008415473312</v>
      </c>
      <c r="F97" s="43">
        <v>7.287</v>
      </c>
      <c r="G97" s="49">
        <f t="shared" si="1"/>
        <v>0.07287</v>
      </c>
      <c r="H97" s="50">
        <f t="shared" si="2"/>
        <v>0.0001927235021</v>
      </c>
      <c r="I97" s="51">
        <f t="shared" si="5"/>
        <v>0.001460015777</v>
      </c>
    </row>
    <row r="98">
      <c r="A98" s="7">
        <v>43458.0</v>
      </c>
      <c r="B98" s="11">
        <v>118.642</v>
      </c>
      <c r="C98" s="65">
        <f t="shared" si="3"/>
        <v>-0.005126897849</v>
      </c>
      <c r="D98" s="42">
        <v>10729.85</v>
      </c>
      <c r="E98" s="40">
        <f t="shared" si="4"/>
        <v>0.006222159704</v>
      </c>
      <c r="F98" s="43">
        <v>7.263</v>
      </c>
      <c r="G98" s="49">
        <f t="shared" si="1"/>
        <v>0.07263</v>
      </c>
      <c r="H98" s="50">
        <f t="shared" si="2"/>
        <v>0.0001921104415</v>
      </c>
      <c r="I98" s="51">
        <f t="shared" si="5"/>
        <v>-0.003181037102</v>
      </c>
    </row>
    <row r="99">
      <c r="A99" s="7">
        <v>43460.0</v>
      </c>
      <c r="B99" s="11">
        <v>119.0636</v>
      </c>
      <c r="C99" s="65">
        <f t="shared" si="3"/>
        <v>0.003553547648</v>
      </c>
      <c r="D99" s="42">
        <v>10779.8</v>
      </c>
      <c r="E99" s="40">
        <f t="shared" si="4"/>
        <v>0.004655237492</v>
      </c>
      <c r="F99" s="43">
        <v>7.277</v>
      </c>
      <c r="G99" s="49">
        <f t="shared" si="1"/>
        <v>0.07277</v>
      </c>
      <c r="H99" s="50">
        <f t="shared" si="2"/>
        <v>0.0001924680768</v>
      </c>
      <c r="I99" s="51">
        <f t="shared" si="5"/>
        <v>0.001861613087</v>
      </c>
    </row>
    <row r="100">
      <c r="A100" s="7">
        <v>43461.0</v>
      </c>
      <c r="B100" s="11">
        <v>119.4253</v>
      </c>
      <c r="C100" s="65">
        <f t="shared" si="3"/>
        <v>0.003037872196</v>
      </c>
      <c r="D100" s="42">
        <v>10859.9</v>
      </c>
      <c r="E100" s="40">
        <f t="shared" si="4"/>
        <v>0.007430564574</v>
      </c>
      <c r="F100" s="43">
        <v>7.391</v>
      </c>
      <c r="G100" s="49">
        <f t="shared" si="1"/>
        <v>0.07391</v>
      </c>
      <c r="H100" s="50">
        <f t="shared" si="2"/>
        <v>0.0001953785187</v>
      </c>
      <c r="I100" s="51">
        <f t="shared" si="5"/>
        <v>0.01512168608</v>
      </c>
    </row>
    <row r="101">
      <c r="A101" s="7">
        <v>43462.0</v>
      </c>
      <c r="B101" s="11">
        <v>120.331</v>
      </c>
      <c r="C101" s="65">
        <f t="shared" si="3"/>
        <v>0.007583820179</v>
      </c>
      <c r="D101" s="42">
        <v>10862.55</v>
      </c>
      <c r="E101" s="40">
        <f t="shared" si="4"/>
        <v>0.0002440169799</v>
      </c>
      <c r="F101" s="43">
        <v>7.37</v>
      </c>
      <c r="G101" s="49">
        <f t="shared" si="1"/>
        <v>0.0737</v>
      </c>
      <c r="H101" s="50">
        <f t="shared" si="2"/>
        <v>0.0001948426162</v>
      </c>
      <c r="I101" s="51">
        <f t="shared" si="5"/>
        <v>-0.002742893368</v>
      </c>
    </row>
    <row r="102">
      <c r="A102" s="7">
        <v>43465.0</v>
      </c>
      <c r="B102" s="11">
        <v>120.4493</v>
      </c>
      <c r="C102" s="65">
        <f t="shared" si="3"/>
        <v>0.0009831215564</v>
      </c>
      <c r="D102" s="42">
        <v>10910.1</v>
      </c>
      <c r="E102" s="40">
        <f t="shared" si="4"/>
        <v>0.00437742519</v>
      </c>
      <c r="F102" s="43">
        <v>7.418</v>
      </c>
      <c r="G102" s="49">
        <f t="shared" si="1"/>
        <v>0.07418</v>
      </c>
      <c r="H102" s="50">
        <f t="shared" si="2"/>
        <v>0.0001960673826</v>
      </c>
      <c r="I102" s="51">
        <f t="shared" si="5"/>
        <v>0.006285926319</v>
      </c>
    </row>
    <row r="103">
      <c r="A103" s="13">
        <v>43466.0</v>
      </c>
      <c r="B103" s="11">
        <v>120.8205</v>
      </c>
      <c r="C103" s="65">
        <f t="shared" si="3"/>
        <v>0.003081794581</v>
      </c>
      <c r="D103" s="42">
        <v>10792.5</v>
      </c>
      <c r="E103" s="40">
        <f t="shared" si="4"/>
        <v>-0.01077900294</v>
      </c>
      <c r="F103" s="43">
        <v>7.354</v>
      </c>
      <c r="G103" s="49">
        <f t="shared" si="1"/>
        <v>0.07354</v>
      </c>
      <c r="H103" s="50">
        <f t="shared" si="2"/>
        <v>0.0001944342394</v>
      </c>
      <c r="I103" s="51">
        <f t="shared" si="5"/>
        <v>-0.008329499253</v>
      </c>
    </row>
    <row r="104">
      <c r="A104" s="13">
        <v>43467.0</v>
      </c>
      <c r="B104" s="11">
        <v>119.8123</v>
      </c>
      <c r="C104" s="65">
        <f t="shared" si="3"/>
        <v>-0.008344610393</v>
      </c>
      <c r="D104" s="42">
        <v>10672.25</v>
      </c>
      <c r="E104" s="40">
        <f t="shared" si="4"/>
        <v>-0.01114199676</v>
      </c>
      <c r="F104" s="43">
        <v>7.427</v>
      </c>
      <c r="G104" s="49">
        <f t="shared" si="1"/>
        <v>0.07427</v>
      </c>
      <c r="H104" s="50">
        <f t="shared" si="2"/>
        <v>0.0001962969655</v>
      </c>
      <c r="I104" s="51">
        <f t="shared" si="5"/>
        <v>0.009580236719</v>
      </c>
    </row>
    <row r="105">
      <c r="A105" s="13">
        <v>43468.0</v>
      </c>
      <c r="B105" s="11">
        <v>118.8325</v>
      </c>
      <c r="C105" s="65">
        <f t="shared" si="3"/>
        <v>-0.008177791429</v>
      </c>
      <c r="D105" s="42">
        <v>10727.35</v>
      </c>
      <c r="E105" s="40">
        <f t="shared" si="4"/>
        <v>0.005162922533</v>
      </c>
      <c r="F105" s="43">
        <v>7.448</v>
      </c>
      <c r="G105" s="49">
        <f t="shared" si="1"/>
        <v>0.07448</v>
      </c>
      <c r="H105" s="50">
        <f t="shared" si="2"/>
        <v>0.0001968325844</v>
      </c>
      <c r="I105" s="51">
        <f t="shared" si="5"/>
        <v>0.002728615303</v>
      </c>
    </row>
    <row r="106">
      <c r="A106" s="13">
        <v>43469.0</v>
      </c>
      <c r="B106" s="11">
        <v>118.9872</v>
      </c>
      <c r="C106" s="65">
        <f t="shared" si="3"/>
        <v>0.001301832411</v>
      </c>
      <c r="D106" s="42">
        <v>10771.8</v>
      </c>
      <c r="E106" s="40">
        <f t="shared" si="4"/>
        <v>0.00414361422</v>
      </c>
      <c r="F106" s="43">
        <v>7.508</v>
      </c>
      <c r="G106" s="49">
        <f t="shared" si="1"/>
        <v>0.07508</v>
      </c>
      <c r="H106" s="50">
        <f t="shared" si="2"/>
        <v>0.0001983623491</v>
      </c>
      <c r="I106" s="51">
        <f t="shared" si="5"/>
        <v>0.007771907681</v>
      </c>
    </row>
    <row r="107">
      <c r="A107" s="13">
        <v>43472.0</v>
      </c>
      <c r="B107" s="11">
        <v>119.5572</v>
      </c>
      <c r="C107" s="65">
        <f t="shared" si="3"/>
        <v>0.00479043124</v>
      </c>
      <c r="D107" s="42">
        <v>10802.15</v>
      </c>
      <c r="E107" s="40">
        <f t="shared" si="4"/>
        <v>0.002817542101</v>
      </c>
      <c r="F107" s="43">
        <v>7.454</v>
      </c>
      <c r="G107" s="49">
        <f t="shared" si="1"/>
        <v>0.07454</v>
      </c>
      <c r="H107" s="50">
        <f t="shared" si="2"/>
        <v>0.0001969855992</v>
      </c>
      <c r="I107" s="51">
        <f t="shared" si="5"/>
        <v>-0.006940580626</v>
      </c>
    </row>
    <row r="108">
      <c r="A108" s="13">
        <v>43473.0</v>
      </c>
      <c r="B108" s="11">
        <v>120.2598</v>
      </c>
      <c r="C108" s="65">
        <f t="shared" si="3"/>
        <v>0.005876684968</v>
      </c>
      <c r="D108" s="42">
        <v>10855.15</v>
      </c>
      <c r="E108" s="40">
        <f t="shared" si="4"/>
        <v>0.004906430664</v>
      </c>
      <c r="F108" s="43">
        <v>7.47</v>
      </c>
      <c r="G108" s="49">
        <f t="shared" si="1"/>
        <v>0.0747</v>
      </c>
      <c r="H108" s="50">
        <f t="shared" si="2"/>
        <v>0.000197393597</v>
      </c>
      <c r="I108" s="51">
        <f t="shared" si="5"/>
        <v>0.002071206269</v>
      </c>
    </row>
    <row r="109">
      <c r="A109" s="13">
        <v>43474.0</v>
      </c>
      <c r="B109" s="11">
        <v>120.6949</v>
      </c>
      <c r="C109" s="65">
        <f t="shared" si="3"/>
        <v>0.003618000363</v>
      </c>
      <c r="D109" s="42">
        <v>10821.6</v>
      </c>
      <c r="E109" s="40">
        <f t="shared" si="4"/>
        <v>-0.003090698885</v>
      </c>
      <c r="F109" s="43">
        <v>7.476</v>
      </c>
      <c r="G109" s="49">
        <f t="shared" si="1"/>
        <v>0.07476</v>
      </c>
      <c r="H109" s="50">
        <f t="shared" si="2"/>
        <v>0.0001975465806</v>
      </c>
      <c r="I109" s="51">
        <f t="shared" si="5"/>
        <v>0.0007750178489</v>
      </c>
    </row>
    <row r="110">
      <c r="A110" s="7">
        <v>43475.0</v>
      </c>
      <c r="B110" s="11">
        <v>120.5294</v>
      </c>
      <c r="C110" s="65">
        <f t="shared" si="3"/>
        <v>-0.001371226125</v>
      </c>
      <c r="D110" s="42">
        <v>10794.95</v>
      </c>
      <c r="E110" s="40">
        <f t="shared" si="4"/>
        <v>-0.002462667258</v>
      </c>
      <c r="F110" s="43">
        <v>7.503</v>
      </c>
      <c r="G110" s="49">
        <f t="shared" si="1"/>
        <v>0.07503</v>
      </c>
      <c r="H110" s="50">
        <f t="shared" si="2"/>
        <v>0.0001982349012</v>
      </c>
      <c r="I110" s="51">
        <f t="shared" si="5"/>
        <v>0.003484346021</v>
      </c>
    </row>
    <row r="111">
      <c r="A111" s="7">
        <v>43476.0</v>
      </c>
      <c r="B111" s="11">
        <v>119.9658</v>
      </c>
      <c r="C111" s="65">
        <f t="shared" si="3"/>
        <v>-0.004676037548</v>
      </c>
      <c r="D111" s="42">
        <v>10737.6</v>
      </c>
      <c r="E111" s="40">
        <f t="shared" si="4"/>
        <v>-0.00531266935</v>
      </c>
      <c r="F111" s="43">
        <v>7.431</v>
      </c>
      <c r="G111" s="49">
        <f t="shared" si="1"/>
        <v>0.07431</v>
      </c>
      <c r="H111" s="50">
        <f t="shared" si="2"/>
        <v>0.0001963989962</v>
      </c>
      <c r="I111" s="51">
        <f t="shared" si="5"/>
        <v>-0.009261260267</v>
      </c>
    </row>
    <row r="112">
      <c r="A112" s="7">
        <v>43479.0</v>
      </c>
      <c r="B112" s="11">
        <v>119.4109</v>
      </c>
      <c r="C112" s="65">
        <f t="shared" si="3"/>
        <v>-0.00462548493</v>
      </c>
      <c r="D112" s="42">
        <v>10886.8</v>
      </c>
      <c r="E112" s="40">
        <f t="shared" si="4"/>
        <v>0.0138950976</v>
      </c>
      <c r="F112" s="43">
        <v>7.473</v>
      </c>
      <c r="G112" s="49">
        <f t="shared" si="1"/>
        <v>0.07473</v>
      </c>
      <c r="H112" s="50">
        <f t="shared" si="2"/>
        <v>0.0001974700898</v>
      </c>
      <c r="I112" s="51">
        <f t="shared" si="5"/>
        <v>0.005453661563</v>
      </c>
    </row>
    <row r="113">
      <c r="A113" s="7">
        <v>43480.0</v>
      </c>
      <c r="B113" s="11">
        <v>120.781</v>
      </c>
      <c r="C113" s="65">
        <f t="shared" si="3"/>
        <v>0.01147382693</v>
      </c>
      <c r="D113" s="42">
        <v>10890.3</v>
      </c>
      <c r="E113" s="40">
        <f t="shared" si="4"/>
        <v>0.0003214902451</v>
      </c>
      <c r="F113" s="43">
        <v>7.563</v>
      </c>
      <c r="G113" s="49">
        <f t="shared" si="1"/>
        <v>0.07563</v>
      </c>
      <c r="H113" s="50">
        <f t="shared" si="2"/>
        <v>0.0001997638856</v>
      </c>
      <c r="I113" s="51">
        <f t="shared" si="5"/>
        <v>0.01161591483</v>
      </c>
    </row>
    <row r="114">
      <c r="A114" s="7">
        <v>43481.0</v>
      </c>
      <c r="B114" s="11">
        <v>120.8989</v>
      </c>
      <c r="C114" s="65">
        <f t="shared" si="3"/>
        <v>0.0009761469105</v>
      </c>
      <c r="D114" s="42">
        <v>10905.2</v>
      </c>
      <c r="E114" s="40">
        <f t="shared" si="4"/>
        <v>0.001368190041</v>
      </c>
      <c r="F114" s="43">
        <v>7.549</v>
      </c>
      <c r="G114" s="49">
        <f t="shared" si="1"/>
        <v>0.07549</v>
      </c>
      <c r="H114" s="50">
        <f t="shared" si="2"/>
        <v>0.0001994071986</v>
      </c>
      <c r="I114" s="51">
        <f t="shared" si="5"/>
        <v>-0.001785542627</v>
      </c>
    </row>
    <row r="115">
      <c r="A115" s="7">
        <v>43482.0</v>
      </c>
      <c r="B115" s="11">
        <v>121.005</v>
      </c>
      <c r="C115" s="65">
        <f t="shared" si="3"/>
        <v>0.0008775927655</v>
      </c>
      <c r="D115" s="42">
        <v>10906.95</v>
      </c>
      <c r="E115" s="40">
        <f t="shared" si="4"/>
        <v>0.0001604739024</v>
      </c>
      <c r="F115" s="43">
        <v>7.596</v>
      </c>
      <c r="G115" s="49">
        <f t="shared" si="1"/>
        <v>0.07596</v>
      </c>
      <c r="H115" s="50">
        <f t="shared" si="2"/>
        <v>0.0002006044645</v>
      </c>
      <c r="I115" s="51">
        <f t="shared" si="5"/>
        <v>0.006004125465</v>
      </c>
    </row>
    <row r="116">
      <c r="A116" s="7">
        <v>43483.0</v>
      </c>
      <c r="B116" s="11">
        <v>120.2125</v>
      </c>
      <c r="C116" s="65">
        <f t="shared" si="3"/>
        <v>-0.006549316144</v>
      </c>
      <c r="D116" s="42">
        <v>10961.85</v>
      </c>
      <c r="E116" s="40">
        <f t="shared" si="4"/>
        <v>0.005033487822</v>
      </c>
      <c r="F116" s="43">
        <v>7.569</v>
      </c>
      <c r="G116" s="49">
        <f t="shared" si="1"/>
        <v>0.07569</v>
      </c>
      <c r="H116" s="50">
        <f t="shared" si="2"/>
        <v>0.0001999167372</v>
      </c>
      <c r="I116" s="51">
        <f t="shared" si="5"/>
        <v>-0.0034282749</v>
      </c>
    </row>
    <row r="117">
      <c r="A117" s="7">
        <v>43486.0</v>
      </c>
      <c r="B117" s="11">
        <v>120.3952</v>
      </c>
      <c r="C117" s="65">
        <f t="shared" si="3"/>
        <v>0.001519808672</v>
      </c>
      <c r="D117" s="42">
        <v>10922.75</v>
      </c>
      <c r="E117" s="40">
        <f t="shared" si="4"/>
        <v>-0.003566916168</v>
      </c>
      <c r="F117" s="43">
        <v>7.533</v>
      </c>
      <c r="G117" s="49">
        <f t="shared" si="1"/>
        <v>0.07533</v>
      </c>
      <c r="H117" s="50">
        <f t="shared" si="2"/>
        <v>0.0001989994997</v>
      </c>
      <c r="I117" s="51">
        <f t="shared" si="5"/>
        <v>-0.004588097595</v>
      </c>
    </row>
    <row r="118">
      <c r="A118" s="7">
        <v>43487.0</v>
      </c>
      <c r="B118" s="11">
        <v>120.1766</v>
      </c>
      <c r="C118" s="65">
        <f t="shared" si="3"/>
        <v>-0.001815687004</v>
      </c>
      <c r="D118" s="42">
        <v>10831.5</v>
      </c>
      <c r="E118" s="40">
        <f t="shared" si="4"/>
        <v>-0.008354123275</v>
      </c>
      <c r="F118" s="43">
        <v>7.577</v>
      </c>
      <c r="G118" s="49">
        <f t="shared" si="1"/>
        <v>0.07577</v>
      </c>
      <c r="H118" s="50">
        <f t="shared" si="2"/>
        <v>0.0002001205262</v>
      </c>
      <c r="I118" s="51">
        <f t="shared" si="5"/>
        <v>0.005633313074</v>
      </c>
    </row>
    <row r="119">
      <c r="A119" s="7">
        <v>43488.0</v>
      </c>
      <c r="B119" s="11">
        <v>119.3341</v>
      </c>
      <c r="C119" s="65">
        <f t="shared" si="3"/>
        <v>-0.00701051619</v>
      </c>
      <c r="D119" s="42">
        <v>10849.8</v>
      </c>
      <c r="E119" s="40">
        <f t="shared" si="4"/>
        <v>0.001689516687</v>
      </c>
      <c r="F119" s="43">
        <v>7.557</v>
      </c>
      <c r="G119" s="49">
        <f t="shared" si="1"/>
        <v>0.07557</v>
      </c>
      <c r="H119" s="50">
        <f t="shared" si="2"/>
        <v>0.0001996110254</v>
      </c>
      <c r="I119" s="51">
        <f t="shared" si="5"/>
        <v>-0.002545969706</v>
      </c>
    </row>
    <row r="120">
      <c r="A120" s="7">
        <v>43489.0</v>
      </c>
      <c r="B120" s="11">
        <v>119.4863</v>
      </c>
      <c r="C120" s="65">
        <f t="shared" si="3"/>
        <v>0.0012754108</v>
      </c>
      <c r="D120" s="42">
        <v>10780.55</v>
      </c>
      <c r="E120" s="40">
        <f t="shared" si="4"/>
        <v>-0.006382606131</v>
      </c>
      <c r="F120" s="43">
        <v>7.546</v>
      </c>
      <c r="G120" s="49">
        <f t="shared" si="1"/>
        <v>0.07546</v>
      </c>
      <c r="H120" s="50">
        <f t="shared" si="2"/>
        <v>0.0001993307597</v>
      </c>
      <c r="I120" s="51">
        <f t="shared" si="5"/>
        <v>-0.001404059279</v>
      </c>
    </row>
    <row r="121">
      <c r="A121" s="7">
        <v>43490.0</v>
      </c>
      <c r="B121" s="11">
        <v>118.6251</v>
      </c>
      <c r="C121" s="65">
        <f t="shared" si="3"/>
        <v>-0.007207520862</v>
      </c>
      <c r="D121" s="42">
        <v>10661.55</v>
      </c>
      <c r="E121" s="40">
        <f t="shared" si="4"/>
        <v>-0.01103839786</v>
      </c>
      <c r="F121" s="43">
        <v>7.541</v>
      </c>
      <c r="G121" s="49">
        <f t="shared" si="1"/>
        <v>0.07541</v>
      </c>
      <c r="H121" s="50">
        <f t="shared" si="2"/>
        <v>0.0001992033568</v>
      </c>
      <c r="I121" s="51">
        <f t="shared" si="5"/>
        <v>-0.0006391535174</v>
      </c>
    </row>
    <row r="122">
      <c r="A122" s="7">
        <v>43493.0</v>
      </c>
      <c r="B122" s="11">
        <v>117.298</v>
      </c>
      <c r="C122" s="65">
        <f t="shared" si="3"/>
        <v>-0.01118734568</v>
      </c>
      <c r="D122" s="42">
        <v>10652.2</v>
      </c>
      <c r="E122" s="40">
        <f t="shared" si="4"/>
        <v>-0.0008769831779</v>
      </c>
      <c r="F122" s="43">
        <v>7.525</v>
      </c>
      <c r="G122" s="49">
        <f t="shared" si="1"/>
        <v>0.07525</v>
      </c>
      <c r="H122" s="50">
        <f t="shared" si="2"/>
        <v>0.0001987956276</v>
      </c>
      <c r="I122" s="51">
        <f t="shared" si="5"/>
        <v>-0.002046798643</v>
      </c>
    </row>
    <row r="123">
      <c r="A123" s="7">
        <v>43494.0</v>
      </c>
      <c r="B123" s="11">
        <v>117.5207</v>
      </c>
      <c r="C123" s="65">
        <f t="shared" si="3"/>
        <v>0.001898583096</v>
      </c>
      <c r="D123" s="42">
        <v>10651.8</v>
      </c>
      <c r="E123" s="40">
        <f t="shared" si="4"/>
        <v>-0.00003755092845</v>
      </c>
      <c r="F123" s="43">
        <v>7.551</v>
      </c>
      <c r="G123" s="49">
        <f t="shared" si="1"/>
        <v>0.07551</v>
      </c>
      <c r="H123" s="50">
        <f t="shared" si="2"/>
        <v>0.0001994581568</v>
      </c>
      <c r="I123" s="51">
        <f t="shared" si="5"/>
        <v>0.003332714979</v>
      </c>
    </row>
    <row r="124">
      <c r="A124" s="7">
        <v>43495.0</v>
      </c>
      <c r="B124" s="11">
        <v>117.9814</v>
      </c>
      <c r="C124" s="65">
        <f t="shared" si="3"/>
        <v>0.003920160448</v>
      </c>
      <c r="D124" s="42">
        <v>10830.95</v>
      </c>
      <c r="E124" s="40">
        <f t="shared" si="4"/>
        <v>0.01681875364</v>
      </c>
      <c r="F124" s="43">
        <v>7.483</v>
      </c>
      <c r="G124" s="49">
        <f t="shared" si="1"/>
        <v>0.07483</v>
      </c>
      <c r="H124" s="50">
        <f t="shared" si="2"/>
        <v>0.0001977250506</v>
      </c>
      <c r="I124" s="51">
        <f t="shared" si="5"/>
        <v>-0.008689071324</v>
      </c>
    </row>
    <row r="125">
      <c r="A125" s="7">
        <v>43496.0</v>
      </c>
      <c r="B125" s="11">
        <v>119.7044</v>
      </c>
      <c r="C125" s="65">
        <f t="shared" si="3"/>
        <v>0.0146039969</v>
      </c>
      <c r="D125" s="42">
        <v>10893.65</v>
      </c>
      <c r="E125" s="40">
        <f t="shared" si="4"/>
        <v>0.00578896588</v>
      </c>
      <c r="F125" s="43">
        <v>7.61</v>
      </c>
      <c r="G125" s="49">
        <f t="shared" si="1"/>
        <v>0.0761</v>
      </c>
      <c r="H125" s="50">
        <f t="shared" si="2"/>
        <v>0.000200960996</v>
      </c>
      <c r="I125" s="51">
        <f t="shared" si="5"/>
        <v>0.01636588501</v>
      </c>
    </row>
    <row r="126">
      <c r="A126" s="13">
        <v>43497.0</v>
      </c>
      <c r="B126" s="11">
        <v>120.195</v>
      </c>
      <c r="C126" s="65">
        <f t="shared" si="3"/>
        <v>0.00409842913</v>
      </c>
      <c r="D126" s="42">
        <v>10912.25</v>
      </c>
      <c r="E126" s="40">
        <f t="shared" si="4"/>
        <v>0.001707416706</v>
      </c>
      <c r="F126" s="43">
        <v>7.672</v>
      </c>
      <c r="G126" s="49">
        <f t="shared" si="1"/>
        <v>0.07672</v>
      </c>
      <c r="H126" s="50">
        <f t="shared" si="2"/>
        <v>0.0002025393657</v>
      </c>
      <c r="I126" s="51">
        <f t="shared" si="5"/>
        <v>0.007854109446</v>
      </c>
    </row>
    <row r="127">
      <c r="A127" s="13">
        <v>43500.0</v>
      </c>
      <c r="B127" s="11">
        <v>119.9072</v>
      </c>
      <c r="C127" s="65">
        <f t="shared" si="3"/>
        <v>-0.002394442364</v>
      </c>
      <c r="D127" s="42">
        <v>10934.35</v>
      </c>
      <c r="E127" s="40">
        <f t="shared" si="4"/>
        <v>0.002025246856</v>
      </c>
      <c r="F127" s="43">
        <v>7.615</v>
      </c>
      <c r="G127" s="49">
        <f t="shared" si="1"/>
        <v>0.07615</v>
      </c>
      <c r="H127" s="50">
        <f t="shared" si="2"/>
        <v>0.0002010883175</v>
      </c>
      <c r="I127" s="51">
        <f t="shared" si="5"/>
        <v>-0.007164277235</v>
      </c>
    </row>
    <row r="128">
      <c r="A128" s="13">
        <v>43501.0</v>
      </c>
      <c r="B128" s="11">
        <v>120.021</v>
      </c>
      <c r="C128" s="65">
        <f t="shared" si="3"/>
        <v>0.0009490672787</v>
      </c>
      <c r="D128" s="42">
        <v>11062.45</v>
      </c>
      <c r="E128" s="40">
        <f t="shared" si="4"/>
        <v>0.01171537403</v>
      </c>
      <c r="F128" s="43">
        <v>7.565</v>
      </c>
      <c r="G128" s="49">
        <f t="shared" si="1"/>
        <v>0.07565</v>
      </c>
      <c r="H128" s="50">
        <f t="shared" si="2"/>
        <v>0.0001998148371</v>
      </c>
      <c r="I128" s="51">
        <f t="shared" si="5"/>
        <v>-0.006332941058</v>
      </c>
    </row>
    <row r="129">
      <c r="A129" s="13">
        <v>43502.0</v>
      </c>
      <c r="B129" s="11">
        <v>121.3399</v>
      </c>
      <c r="C129" s="65">
        <f t="shared" si="3"/>
        <v>0.01098891027</v>
      </c>
      <c r="D129" s="42">
        <v>11069.4</v>
      </c>
      <c r="E129" s="40">
        <f t="shared" si="4"/>
        <v>0.0006282514271</v>
      </c>
      <c r="F129" s="43">
        <v>7.501</v>
      </c>
      <c r="G129" s="49">
        <f t="shared" si="1"/>
        <v>0.07501</v>
      </c>
      <c r="H129" s="50">
        <f t="shared" si="2"/>
        <v>0.0001981839204</v>
      </c>
      <c r="I129" s="51">
        <f t="shared" si="5"/>
        <v>-0.008162140057</v>
      </c>
    </row>
    <row r="130">
      <c r="A130" s="13">
        <v>43503.0</v>
      </c>
      <c r="B130" s="11">
        <v>121.7985</v>
      </c>
      <c r="C130" s="65">
        <f t="shared" si="3"/>
        <v>0.003779465782</v>
      </c>
      <c r="D130" s="42">
        <v>10943.6</v>
      </c>
      <c r="E130" s="40">
        <f t="shared" si="4"/>
        <v>-0.01136466294</v>
      </c>
      <c r="F130" s="43">
        <v>7.524</v>
      </c>
      <c r="G130" s="49">
        <f t="shared" si="1"/>
        <v>0.07524</v>
      </c>
      <c r="H130" s="50">
        <f t="shared" si="2"/>
        <v>0.0001987701425</v>
      </c>
      <c r="I130" s="51">
        <f t="shared" si="5"/>
        <v>0.002957970145</v>
      </c>
    </row>
    <row r="131">
      <c r="A131" s="13">
        <v>43504.0</v>
      </c>
      <c r="B131" s="11">
        <v>120.5208</v>
      </c>
      <c r="C131" s="65">
        <f t="shared" si="3"/>
        <v>-0.01049027697</v>
      </c>
      <c r="D131" s="42">
        <v>10888.8</v>
      </c>
      <c r="E131" s="40">
        <f t="shared" si="4"/>
        <v>-0.005007492964</v>
      </c>
      <c r="F131" s="43">
        <v>7.529</v>
      </c>
      <c r="G131" s="49">
        <f t="shared" si="1"/>
        <v>0.07529</v>
      </c>
      <c r="H131" s="50">
        <f t="shared" si="2"/>
        <v>0.0001988975656</v>
      </c>
      <c r="I131" s="51">
        <f t="shared" si="5"/>
        <v>0.0006410572626</v>
      </c>
    </row>
    <row r="132">
      <c r="A132" s="7">
        <v>43507.0</v>
      </c>
      <c r="B132" s="11">
        <v>119.9548</v>
      </c>
      <c r="C132" s="65">
        <f t="shared" si="3"/>
        <v>-0.004696284791</v>
      </c>
      <c r="D132" s="42">
        <v>10831.4</v>
      </c>
      <c r="E132" s="40">
        <f t="shared" si="4"/>
        <v>-0.005271471604</v>
      </c>
      <c r="F132" s="43">
        <v>7.534</v>
      </c>
      <c r="G132" s="49">
        <f t="shared" si="1"/>
        <v>0.07534</v>
      </c>
      <c r="H132" s="50">
        <f t="shared" si="2"/>
        <v>0.0001990249827</v>
      </c>
      <c r="I132" s="51">
        <f t="shared" si="5"/>
        <v>0.0006406168647</v>
      </c>
    </row>
    <row r="133">
      <c r="A133" s="7">
        <v>43508.0</v>
      </c>
      <c r="B133" s="11">
        <v>119.2656</v>
      </c>
      <c r="C133" s="65">
        <f t="shared" si="3"/>
        <v>-0.005745497471</v>
      </c>
      <c r="D133" s="42">
        <v>10793.65</v>
      </c>
      <c r="E133" s="40">
        <f t="shared" si="4"/>
        <v>-0.003485237365</v>
      </c>
      <c r="F133" s="43">
        <v>7.466</v>
      </c>
      <c r="G133" s="49">
        <f t="shared" si="1"/>
        <v>0.07466</v>
      </c>
      <c r="H133" s="50">
        <f t="shared" si="2"/>
        <v>0.0001972916032</v>
      </c>
      <c r="I133" s="51">
        <f t="shared" si="5"/>
        <v>-0.008709356225</v>
      </c>
    </row>
    <row r="134">
      <c r="A134" s="7">
        <v>43509.0</v>
      </c>
      <c r="B134" s="11">
        <v>118.6914</v>
      </c>
      <c r="C134" s="65">
        <f t="shared" si="3"/>
        <v>-0.004814464523</v>
      </c>
      <c r="D134" s="42">
        <v>10746.05</v>
      </c>
      <c r="E134" s="40">
        <f t="shared" si="4"/>
        <v>-0.004410000324</v>
      </c>
      <c r="F134" s="43">
        <v>7.521</v>
      </c>
      <c r="G134" s="49">
        <f t="shared" si="1"/>
        <v>0.07521</v>
      </c>
      <c r="H134" s="50">
        <f t="shared" si="2"/>
        <v>0.0001986936858</v>
      </c>
      <c r="I134" s="51">
        <f t="shared" si="5"/>
        <v>0.007106651313</v>
      </c>
    </row>
    <row r="135">
      <c r="A135" s="7">
        <v>43510.0</v>
      </c>
      <c r="B135" s="11">
        <v>118.6199</v>
      </c>
      <c r="C135" s="65">
        <f t="shared" si="3"/>
        <v>-0.000602402533</v>
      </c>
      <c r="D135" s="42">
        <v>10724.4</v>
      </c>
      <c r="E135" s="40">
        <f t="shared" si="4"/>
        <v>-0.002014693771</v>
      </c>
      <c r="F135" s="43">
        <v>7.577</v>
      </c>
      <c r="G135" s="49">
        <f t="shared" si="1"/>
        <v>0.07577</v>
      </c>
      <c r="H135" s="50">
        <f t="shared" si="2"/>
        <v>0.0002001205262</v>
      </c>
      <c r="I135" s="51">
        <f t="shared" si="5"/>
        <v>0.007181105751</v>
      </c>
    </row>
    <row r="136">
      <c r="A136" s="7">
        <v>43511.0</v>
      </c>
      <c r="B136" s="11">
        <v>118.0237</v>
      </c>
      <c r="C136" s="65">
        <f t="shared" si="3"/>
        <v>-0.00502613811</v>
      </c>
      <c r="D136" s="42">
        <v>10640.95</v>
      </c>
      <c r="E136" s="40">
        <f t="shared" si="4"/>
        <v>-0.0077813211</v>
      </c>
      <c r="F136" s="43">
        <v>7.58</v>
      </c>
      <c r="G136" s="49">
        <f t="shared" si="1"/>
        <v>0.0758</v>
      </c>
      <c r="H136" s="50">
        <f t="shared" si="2"/>
        <v>0.0002001969432</v>
      </c>
      <c r="I136" s="51">
        <f t="shared" si="5"/>
        <v>0.0003818547429</v>
      </c>
    </row>
    <row r="137">
      <c r="A137" s="7">
        <v>43514.0</v>
      </c>
      <c r="B137" s="11">
        <v>117.167</v>
      </c>
      <c r="C137" s="65">
        <f t="shared" si="3"/>
        <v>-0.007258711598</v>
      </c>
      <c r="D137" s="42">
        <v>10735.45</v>
      </c>
      <c r="E137" s="40">
        <f t="shared" si="4"/>
        <v>0.00888078602</v>
      </c>
      <c r="F137" s="43">
        <v>7.545</v>
      </c>
      <c r="G137" s="49">
        <f t="shared" si="1"/>
        <v>0.07545</v>
      </c>
      <c r="H137" s="50">
        <f t="shared" si="2"/>
        <v>0.0001993052796</v>
      </c>
      <c r="I137" s="51">
        <f t="shared" si="5"/>
        <v>-0.004453932144</v>
      </c>
    </row>
    <row r="138">
      <c r="A138" s="7">
        <v>43515.0</v>
      </c>
      <c r="B138" s="11">
        <v>116.7732</v>
      </c>
      <c r="C138" s="65">
        <f t="shared" si="3"/>
        <v>-0.00336101462</v>
      </c>
      <c r="D138" s="42">
        <v>10789.85</v>
      </c>
      <c r="E138" s="40">
        <f t="shared" si="4"/>
        <v>0.00506732368</v>
      </c>
      <c r="F138" s="43">
        <v>7.544</v>
      </c>
      <c r="G138" s="49">
        <f t="shared" si="1"/>
        <v>0.07544</v>
      </c>
      <c r="H138" s="50">
        <f t="shared" si="2"/>
        <v>0.0001992797992</v>
      </c>
      <c r="I138" s="51">
        <f t="shared" si="5"/>
        <v>-0.0001278458603</v>
      </c>
    </row>
    <row r="139">
      <c r="A139" s="7">
        <v>43516.0</v>
      </c>
      <c r="B139" s="11">
        <v>118.1205</v>
      </c>
      <c r="C139" s="65">
        <f t="shared" si="3"/>
        <v>0.0115377501</v>
      </c>
      <c r="D139" s="42">
        <v>10791.65</v>
      </c>
      <c r="E139" s="40">
        <f t="shared" si="4"/>
        <v>0.0001668234498</v>
      </c>
      <c r="F139" s="43">
        <v>7.605</v>
      </c>
      <c r="G139" s="49">
        <f t="shared" si="1"/>
        <v>0.07605</v>
      </c>
      <c r="H139" s="50">
        <f t="shared" si="2"/>
        <v>0.0002008336687</v>
      </c>
      <c r="I139" s="51">
        <f t="shared" si="5"/>
        <v>0.007797425676</v>
      </c>
    </row>
    <row r="140">
      <c r="A140" s="7">
        <v>43517.0</v>
      </c>
      <c r="B140" s="11">
        <v>118.5808</v>
      </c>
      <c r="C140" s="65">
        <f t="shared" si="3"/>
        <v>0.003896868029</v>
      </c>
      <c r="D140" s="42">
        <v>10880.1</v>
      </c>
      <c r="E140" s="40">
        <f t="shared" si="4"/>
        <v>0.008196151654</v>
      </c>
      <c r="F140" s="43">
        <v>7.584</v>
      </c>
      <c r="G140" s="49">
        <f t="shared" si="1"/>
        <v>0.07584</v>
      </c>
      <c r="H140" s="50">
        <f t="shared" si="2"/>
        <v>0.0002002988292</v>
      </c>
      <c r="I140" s="51">
        <f t="shared" si="5"/>
        <v>-0.002663096687</v>
      </c>
    </row>
    <row r="141">
      <c r="A141" s="7">
        <v>43518.0</v>
      </c>
      <c r="B141" s="11">
        <v>118.6068</v>
      </c>
      <c r="C141" s="65">
        <f t="shared" si="3"/>
        <v>0.000219259779</v>
      </c>
      <c r="D141" s="42">
        <v>10835.3</v>
      </c>
      <c r="E141" s="40">
        <f t="shared" si="4"/>
        <v>-0.004117609213</v>
      </c>
      <c r="F141" s="43">
        <v>7.587</v>
      </c>
      <c r="G141" s="49">
        <f t="shared" si="1"/>
        <v>0.07587</v>
      </c>
      <c r="H141" s="50">
        <f t="shared" si="2"/>
        <v>0.0002003752412</v>
      </c>
      <c r="I141" s="51">
        <f t="shared" si="5"/>
        <v>0.0003814900662</v>
      </c>
    </row>
    <row r="142">
      <c r="A142" s="7">
        <v>43521.0</v>
      </c>
      <c r="B142" s="11">
        <v>119.7061</v>
      </c>
      <c r="C142" s="65">
        <f t="shared" si="3"/>
        <v>0.009268439921</v>
      </c>
      <c r="D142" s="42">
        <v>10806.65</v>
      </c>
      <c r="E142" s="40">
        <f t="shared" si="4"/>
        <v>-0.002644135372</v>
      </c>
      <c r="F142" s="43">
        <v>7.672</v>
      </c>
      <c r="G142" s="49">
        <f t="shared" si="1"/>
        <v>0.07672</v>
      </c>
      <c r="H142" s="50">
        <f t="shared" si="2"/>
        <v>0.0002025393657</v>
      </c>
      <c r="I142" s="51">
        <f t="shared" si="5"/>
        <v>0.01080035886</v>
      </c>
    </row>
    <row r="143">
      <c r="A143" s="7">
        <v>43522.0</v>
      </c>
      <c r="B143" s="11">
        <v>119.405</v>
      </c>
      <c r="C143" s="65">
        <f t="shared" si="3"/>
        <v>-0.002515327122</v>
      </c>
      <c r="D143" s="42">
        <v>10792.5</v>
      </c>
      <c r="E143" s="40">
        <f t="shared" si="4"/>
        <v>-0.001309378947</v>
      </c>
      <c r="F143" s="43">
        <v>7.591</v>
      </c>
      <c r="G143" s="49">
        <f t="shared" si="1"/>
        <v>0.07591</v>
      </c>
      <c r="H143" s="50">
        <f t="shared" si="2"/>
        <v>0.0002004771206</v>
      </c>
      <c r="I143" s="51">
        <f t="shared" si="5"/>
        <v>-0.01018194722</v>
      </c>
    </row>
    <row r="144">
      <c r="A144" s="7">
        <v>43523.0</v>
      </c>
      <c r="B144" s="11">
        <v>119.3557</v>
      </c>
      <c r="C144" s="65">
        <f t="shared" si="3"/>
        <v>-0.0004128805326</v>
      </c>
      <c r="D144" s="42">
        <v>10863.5</v>
      </c>
      <c r="E144" s="40">
        <f t="shared" si="4"/>
        <v>0.006578642576</v>
      </c>
      <c r="F144" s="43">
        <v>7.556</v>
      </c>
      <c r="G144" s="49">
        <f t="shared" si="1"/>
        <v>0.07556</v>
      </c>
      <c r="H144" s="50">
        <f t="shared" si="2"/>
        <v>0.0001995855479</v>
      </c>
      <c r="I144" s="51">
        <f t="shared" si="5"/>
        <v>-0.004447253981</v>
      </c>
    </row>
    <row r="145">
      <c r="A145" s="7">
        <v>43524.0</v>
      </c>
      <c r="B145" s="11">
        <v>119.1509</v>
      </c>
      <c r="C145" s="65">
        <f t="shared" si="3"/>
        <v>-0.00171587951</v>
      </c>
      <c r="D145" s="42">
        <v>10987.45</v>
      </c>
      <c r="E145" s="40">
        <f t="shared" si="4"/>
        <v>0.01140976665</v>
      </c>
      <c r="F145" s="43">
        <v>7.556</v>
      </c>
      <c r="G145" s="49">
        <f t="shared" si="1"/>
        <v>0.07556</v>
      </c>
      <c r="H145" s="50">
        <f t="shared" si="2"/>
        <v>0.0001995855479</v>
      </c>
      <c r="I145" s="51">
        <f t="shared" si="5"/>
        <v>0</v>
      </c>
    </row>
    <row r="146">
      <c r="A146" s="13">
        <v>43525.0</v>
      </c>
      <c r="B146" s="11">
        <v>119.9722</v>
      </c>
      <c r="C146" s="65">
        <f t="shared" si="3"/>
        <v>0.006892939961</v>
      </c>
      <c r="D146" s="42">
        <v>11053.0</v>
      </c>
      <c r="E146" s="40">
        <f t="shared" si="4"/>
        <v>0.005965897456</v>
      </c>
      <c r="F146" s="43">
        <v>7.572</v>
      </c>
      <c r="G146" s="49">
        <f t="shared" si="1"/>
        <v>0.07572</v>
      </c>
      <c r="H146" s="50">
        <f t="shared" si="2"/>
        <v>0.0001999931599</v>
      </c>
      <c r="I146" s="51">
        <f t="shared" si="5"/>
        <v>0.002042292033</v>
      </c>
    </row>
    <row r="147">
      <c r="A147" s="13">
        <v>43529.0</v>
      </c>
      <c r="B147" s="11">
        <v>121.3398</v>
      </c>
      <c r="C147" s="65">
        <f t="shared" si="3"/>
        <v>0.01139930751</v>
      </c>
      <c r="D147" s="42">
        <v>11058.2</v>
      </c>
      <c r="E147" s="40">
        <f t="shared" si="4"/>
        <v>0.0004704605085</v>
      </c>
      <c r="F147" s="43">
        <v>7.58</v>
      </c>
      <c r="G147" s="49">
        <f t="shared" si="1"/>
        <v>0.0758</v>
      </c>
      <c r="H147" s="50">
        <f t="shared" si="2"/>
        <v>0.0002001969432</v>
      </c>
      <c r="I147" s="51">
        <f t="shared" si="5"/>
        <v>0.001018951423</v>
      </c>
    </row>
    <row r="148">
      <c r="A148" s="13">
        <v>43530.0</v>
      </c>
      <c r="B148" s="11">
        <v>121.8126</v>
      </c>
      <c r="C148" s="65">
        <f t="shared" si="3"/>
        <v>0.003896495626</v>
      </c>
      <c r="D148" s="42">
        <v>11035.4</v>
      </c>
      <c r="E148" s="40">
        <f t="shared" si="4"/>
        <v>-0.002061818379</v>
      </c>
      <c r="F148" s="43">
        <v>7.532</v>
      </c>
      <c r="G148" s="49">
        <f t="shared" si="1"/>
        <v>0.07532</v>
      </c>
      <c r="H148" s="50">
        <f t="shared" si="2"/>
        <v>0.0001989740165</v>
      </c>
      <c r="I148" s="51">
        <f t="shared" si="5"/>
        <v>-0.006108617977</v>
      </c>
    </row>
    <row r="149">
      <c r="A149" s="13">
        <v>43531.0</v>
      </c>
      <c r="B149" s="11">
        <v>121.8778</v>
      </c>
      <c r="C149" s="65">
        <f t="shared" si="3"/>
        <v>0.0005352484062</v>
      </c>
      <c r="D149" s="42">
        <v>11168.05</v>
      </c>
      <c r="E149" s="40">
        <f t="shared" si="4"/>
        <v>0.01202040705</v>
      </c>
      <c r="F149" s="43">
        <v>7.512</v>
      </c>
      <c r="G149" s="49">
        <f t="shared" si="1"/>
        <v>0.07512</v>
      </c>
      <c r="H149" s="50">
        <f t="shared" si="2"/>
        <v>0.0001984643031</v>
      </c>
      <c r="I149" s="51">
        <f t="shared" si="5"/>
        <v>-0.002561708597</v>
      </c>
    </row>
    <row r="150">
      <c r="A150" s="13">
        <v>43532.0</v>
      </c>
      <c r="B150" s="11">
        <v>121.6917</v>
      </c>
      <c r="C150" s="65">
        <f t="shared" si="3"/>
        <v>-0.001526939279</v>
      </c>
      <c r="D150" s="42">
        <v>11301.2</v>
      </c>
      <c r="E150" s="40">
        <f t="shared" si="4"/>
        <v>0.01192240364</v>
      </c>
      <c r="F150" s="43">
        <v>7.513</v>
      </c>
      <c r="G150" s="49">
        <f t="shared" si="1"/>
        <v>0.07513</v>
      </c>
      <c r="H150" s="50">
        <f t="shared" si="2"/>
        <v>0.000198489791</v>
      </c>
      <c r="I150" s="51">
        <f t="shared" si="5"/>
        <v>0.0001284257059</v>
      </c>
    </row>
    <row r="151">
      <c r="A151" s="7">
        <v>43535.0</v>
      </c>
      <c r="B151" s="11">
        <v>123.1352</v>
      </c>
      <c r="C151" s="65">
        <f t="shared" si="3"/>
        <v>0.01186194293</v>
      </c>
      <c r="D151" s="42">
        <v>11341.7</v>
      </c>
      <c r="E151" s="40">
        <f t="shared" si="4"/>
        <v>0.003583690228</v>
      </c>
      <c r="F151" s="43">
        <v>7.548</v>
      </c>
      <c r="G151" s="49">
        <f t="shared" si="1"/>
        <v>0.07548</v>
      </c>
      <c r="H151" s="50">
        <f t="shared" si="2"/>
        <v>0.0001993817192</v>
      </c>
      <c r="I151" s="51">
        <f t="shared" si="5"/>
        <v>0.004493572284</v>
      </c>
    </row>
    <row r="152">
      <c r="A152" s="7">
        <v>43536.0</v>
      </c>
      <c r="B152" s="11">
        <v>124.4106</v>
      </c>
      <c r="C152" s="65">
        <f t="shared" si="3"/>
        <v>0.01035772062</v>
      </c>
      <c r="D152" s="42">
        <v>11343.25</v>
      </c>
      <c r="E152" s="40">
        <f t="shared" si="4"/>
        <v>0.0001366638158</v>
      </c>
      <c r="F152" s="43">
        <v>7.553</v>
      </c>
      <c r="G152" s="49">
        <f t="shared" si="1"/>
        <v>0.07553</v>
      </c>
      <c r="H152" s="50">
        <f t="shared" si="2"/>
        <v>0.0001995091139</v>
      </c>
      <c r="I152" s="51">
        <f t="shared" si="5"/>
        <v>0.0006389486824</v>
      </c>
    </row>
    <row r="153">
      <c r="A153" s="7">
        <v>43537.0</v>
      </c>
      <c r="B153" s="11">
        <v>124.6209</v>
      </c>
      <c r="C153" s="65">
        <f t="shared" si="3"/>
        <v>0.001690370435</v>
      </c>
      <c r="D153" s="42">
        <v>11426.85</v>
      </c>
      <c r="E153" s="40">
        <f t="shared" si="4"/>
        <v>0.007370021819</v>
      </c>
      <c r="F153" s="43">
        <v>7.502</v>
      </c>
      <c r="G153" s="49">
        <f t="shared" si="1"/>
        <v>0.07502</v>
      </c>
      <c r="H153" s="50">
        <f t="shared" si="2"/>
        <v>0.0001982094109</v>
      </c>
      <c r="I153" s="51">
        <f t="shared" si="5"/>
        <v>-0.006514504467</v>
      </c>
    </row>
    <row r="154">
      <c r="A154" s="7">
        <v>43538.0</v>
      </c>
      <c r="B154" s="11">
        <v>124.6138</v>
      </c>
      <c r="C154" s="65">
        <f t="shared" si="3"/>
        <v>-0.00005697278707</v>
      </c>
      <c r="D154" s="42">
        <v>11462.2</v>
      </c>
      <c r="E154" s="40">
        <f t="shared" si="4"/>
        <v>0.003093590972</v>
      </c>
      <c r="F154" s="43">
        <v>7.48</v>
      </c>
      <c r="G154" s="49">
        <f t="shared" si="1"/>
        <v>0.0748</v>
      </c>
      <c r="H154" s="50">
        <f t="shared" si="2"/>
        <v>0.0001976485649</v>
      </c>
      <c r="I154" s="51">
        <f t="shared" si="5"/>
        <v>-0.002829563176</v>
      </c>
    </row>
    <row r="155">
      <c r="A155" s="7">
        <v>43539.0</v>
      </c>
      <c r="B155" s="11">
        <v>125.3987</v>
      </c>
      <c r="C155" s="65">
        <f t="shared" si="3"/>
        <v>0.006298660341</v>
      </c>
      <c r="D155" s="42">
        <v>11532.4</v>
      </c>
      <c r="E155" s="40">
        <f t="shared" si="4"/>
        <v>0.006124478721</v>
      </c>
      <c r="F155" s="43">
        <v>7.536</v>
      </c>
      <c r="G155" s="49">
        <f t="shared" si="1"/>
        <v>0.07536</v>
      </c>
      <c r="H155" s="50">
        <f t="shared" si="2"/>
        <v>0.0001990759479</v>
      </c>
      <c r="I155" s="51">
        <f t="shared" si="5"/>
        <v>0.007221823391</v>
      </c>
    </row>
    <row r="156">
      <c r="A156" s="7">
        <v>43542.0</v>
      </c>
      <c r="B156" s="11">
        <v>125.4268</v>
      </c>
      <c r="C156" s="65">
        <f t="shared" si="3"/>
        <v>0.0002240852577</v>
      </c>
      <c r="D156" s="42">
        <v>11521.05</v>
      </c>
      <c r="E156" s="40">
        <f t="shared" si="4"/>
        <v>-0.0009841836912</v>
      </c>
      <c r="F156" s="43">
        <v>7.517</v>
      </c>
      <c r="G156" s="49">
        <f t="shared" si="1"/>
        <v>0.07517</v>
      </c>
      <c r="H156" s="50">
        <f t="shared" si="2"/>
        <v>0.0001985917403</v>
      </c>
      <c r="I156" s="51">
        <f t="shared" si="5"/>
        <v>-0.00243227558</v>
      </c>
    </row>
    <row r="157">
      <c r="A157" s="7">
        <v>43543.0</v>
      </c>
      <c r="B157" s="11">
        <v>125.9268</v>
      </c>
      <c r="C157" s="65">
        <f t="shared" si="3"/>
        <v>0.003986388874</v>
      </c>
      <c r="D157" s="42">
        <v>11456.9</v>
      </c>
      <c r="E157" s="40">
        <f t="shared" si="4"/>
        <v>-0.005568068883</v>
      </c>
      <c r="F157" s="43">
        <v>7.504</v>
      </c>
      <c r="G157" s="49">
        <f t="shared" si="1"/>
        <v>0.07504</v>
      </c>
      <c r="H157" s="50">
        <f t="shared" si="2"/>
        <v>0.0001982603912</v>
      </c>
      <c r="I157" s="51">
        <f t="shared" si="5"/>
        <v>-0.001668493779</v>
      </c>
    </row>
    <row r="158">
      <c r="A158" s="7">
        <v>43544.0</v>
      </c>
      <c r="B158" s="11">
        <v>126.0723</v>
      </c>
      <c r="C158" s="65">
        <f t="shared" si="3"/>
        <v>0.001155433156</v>
      </c>
      <c r="D158" s="42">
        <v>11354.25</v>
      </c>
      <c r="E158" s="40">
        <f t="shared" si="4"/>
        <v>-0.008959666227</v>
      </c>
      <c r="F158" s="43">
        <v>7.471</v>
      </c>
      <c r="G158" s="49">
        <f t="shared" si="1"/>
        <v>0.07471</v>
      </c>
      <c r="H158" s="50">
        <f t="shared" si="2"/>
        <v>0.0001974190948</v>
      </c>
      <c r="I158" s="51">
        <f t="shared" si="5"/>
        <v>-0.004243391188</v>
      </c>
    </row>
    <row r="159">
      <c r="A159" s="7">
        <v>43546.0</v>
      </c>
      <c r="B159" s="11">
        <v>125.5551</v>
      </c>
      <c r="C159" s="65">
        <f t="shared" si="3"/>
        <v>-0.004102407904</v>
      </c>
      <c r="D159" s="42">
        <v>11483.25</v>
      </c>
      <c r="E159" s="40">
        <f t="shared" si="4"/>
        <v>0.0113613845</v>
      </c>
      <c r="F159" s="43">
        <v>7.342</v>
      </c>
      <c r="G159" s="49">
        <f t="shared" si="1"/>
        <v>0.07342</v>
      </c>
      <c r="H159" s="50">
        <f t="shared" si="2"/>
        <v>0.000194127917</v>
      </c>
      <c r="I159" s="51">
        <f t="shared" si="5"/>
        <v>-0.01667102075</v>
      </c>
    </row>
    <row r="160">
      <c r="A160" s="7">
        <v>43549.0</v>
      </c>
      <c r="B160" s="11">
        <v>124.2719</v>
      </c>
      <c r="C160" s="65">
        <f t="shared" si="3"/>
        <v>-0.01022021407</v>
      </c>
      <c r="D160" s="42">
        <v>11445.05</v>
      </c>
      <c r="E160" s="40">
        <f t="shared" si="4"/>
        <v>-0.003326584373</v>
      </c>
      <c r="F160" s="43">
        <v>7.327</v>
      </c>
      <c r="G160" s="49">
        <f t="shared" si="1"/>
        <v>0.07327</v>
      </c>
      <c r="H160" s="50">
        <f t="shared" si="2"/>
        <v>0.000193744966</v>
      </c>
      <c r="I160" s="51">
        <f t="shared" si="5"/>
        <v>-0.001972673817</v>
      </c>
    </row>
    <row r="161">
      <c r="A161" s="7">
        <v>43550.0</v>
      </c>
      <c r="B161" s="11">
        <v>125.3871</v>
      </c>
      <c r="C161" s="65">
        <f t="shared" si="3"/>
        <v>0.008973871004</v>
      </c>
      <c r="D161" s="42">
        <v>11570.0</v>
      </c>
      <c r="E161" s="40">
        <f t="shared" si="4"/>
        <v>0.0109173835</v>
      </c>
      <c r="F161" s="43">
        <v>7.323</v>
      </c>
      <c r="G161" s="49">
        <f t="shared" si="1"/>
        <v>0.07323</v>
      </c>
      <c r="H161" s="50">
        <f t="shared" si="2"/>
        <v>0.0001936428367</v>
      </c>
      <c r="I161" s="51">
        <f t="shared" si="5"/>
        <v>-0.0005271326473</v>
      </c>
    </row>
    <row r="162">
      <c r="A162" s="7">
        <v>43551.0</v>
      </c>
      <c r="B162" s="11">
        <v>125.1939</v>
      </c>
      <c r="C162" s="65">
        <f t="shared" si="3"/>
        <v>-0.001540828363</v>
      </c>
      <c r="D162" s="42">
        <v>11623.9</v>
      </c>
      <c r="E162" s="40">
        <f t="shared" si="4"/>
        <v>0.004658599827</v>
      </c>
      <c r="F162" s="43">
        <v>7.346</v>
      </c>
      <c r="G162" s="49">
        <f t="shared" si="1"/>
        <v>0.07346</v>
      </c>
      <c r="H162" s="50">
        <f t="shared" si="2"/>
        <v>0.0001942300283</v>
      </c>
      <c r="I162" s="51">
        <f t="shared" si="5"/>
        <v>0.003032343646</v>
      </c>
    </row>
    <row r="163">
      <c r="A163" s="7">
        <v>43552.0</v>
      </c>
      <c r="B163" s="11">
        <v>126.7465</v>
      </c>
      <c r="C163" s="65">
        <f t="shared" si="3"/>
        <v>0.0124015627</v>
      </c>
      <c r="D163" s="42">
        <v>11713.2</v>
      </c>
      <c r="E163" s="40">
        <f t="shared" si="4"/>
        <v>0.007682447371</v>
      </c>
      <c r="F163" s="43">
        <v>7.272</v>
      </c>
      <c r="G163" s="49">
        <f t="shared" si="1"/>
        <v>0.07272</v>
      </c>
      <c r="H163" s="50">
        <f t="shared" si="2"/>
        <v>0.0001923403553</v>
      </c>
      <c r="I163" s="51">
        <f t="shared" si="5"/>
        <v>-0.009729046653</v>
      </c>
    </row>
    <row r="164">
      <c r="A164" s="7">
        <v>43553.0</v>
      </c>
      <c r="B164" s="11">
        <v>127.2379</v>
      </c>
      <c r="C164" s="65">
        <f t="shared" si="3"/>
        <v>0.003877030135</v>
      </c>
      <c r="D164" s="42">
        <v>11643.95</v>
      </c>
      <c r="E164" s="40">
        <f t="shared" si="4"/>
        <v>-0.00591213332</v>
      </c>
      <c r="F164" s="43">
        <v>7.271</v>
      </c>
      <c r="G164" s="49">
        <f t="shared" si="1"/>
        <v>0.07271</v>
      </c>
      <c r="H164" s="50">
        <f t="shared" si="2"/>
        <v>0.0001923148103</v>
      </c>
      <c r="I164" s="51">
        <f t="shared" si="5"/>
        <v>-0.0001328115618</v>
      </c>
    </row>
    <row r="165">
      <c r="A165" s="13">
        <v>43556.0</v>
      </c>
      <c r="B165" s="11">
        <v>127.8754</v>
      </c>
      <c r="C165" s="65">
        <f t="shared" si="3"/>
        <v>0.005010299604</v>
      </c>
      <c r="D165" s="42">
        <v>11598.0</v>
      </c>
      <c r="E165" s="40">
        <f t="shared" si="4"/>
        <v>-0.003946255351</v>
      </c>
      <c r="F165" s="43">
        <v>7.348</v>
      </c>
      <c r="G165" s="49">
        <f t="shared" si="1"/>
        <v>0.07348</v>
      </c>
      <c r="H165" s="50">
        <f t="shared" si="2"/>
        <v>0.0001942810825</v>
      </c>
      <c r="I165" s="51">
        <f t="shared" si="5"/>
        <v>0.01022423722</v>
      </c>
    </row>
    <row r="166">
      <c r="A166" s="13">
        <v>43557.0</v>
      </c>
      <c r="B166" s="11">
        <v>128.509</v>
      </c>
      <c r="C166" s="65">
        <f t="shared" si="3"/>
        <v>0.004954823211</v>
      </c>
      <c r="D166" s="42">
        <v>11665.95</v>
      </c>
      <c r="E166" s="40">
        <f t="shared" si="4"/>
        <v>0.005858768753</v>
      </c>
      <c r="F166" s="43">
        <v>7.353</v>
      </c>
      <c r="G166" s="49">
        <f t="shared" si="1"/>
        <v>0.07353</v>
      </c>
      <c r="H166" s="50">
        <f t="shared" si="2"/>
        <v>0.0001944087139</v>
      </c>
      <c r="I166" s="51">
        <f t="shared" si="5"/>
        <v>0.0006569418794</v>
      </c>
    </row>
    <row r="167">
      <c r="A167" s="13">
        <v>43558.0</v>
      </c>
      <c r="B167" s="11">
        <v>127.5311</v>
      </c>
      <c r="C167" s="65">
        <f t="shared" si="3"/>
        <v>-0.007609583765</v>
      </c>
      <c r="D167" s="42">
        <v>11604.5</v>
      </c>
      <c r="E167" s="40">
        <f t="shared" si="4"/>
        <v>-0.00526746643</v>
      </c>
      <c r="F167" s="43">
        <v>7.4</v>
      </c>
      <c r="G167" s="49">
        <f t="shared" si="1"/>
        <v>0.074</v>
      </c>
      <c r="H167" s="50">
        <f t="shared" si="2"/>
        <v>0.0001956081592</v>
      </c>
      <c r="I167" s="51">
        <f t="shared" si="5"/>
        <v>0.00616970945</v>
      </c>
    </row>
    <row r="168">
      <c r="A168" s="13">
        <v>43559.0</v>
      </c>
      <c r="B168" s="11">
        <v>127.1245</v>
      </c>
      <c r="C168" s="65">
        <f t="shared" si="3"/>
        <v>-0.003188241927</v>
      </c>
      <c r="D168" s="42">
        <v>11671.95</v>
      </c>
      <c r="E168" s="40">
        <f t="shared" si="4"/>
        <v>0.005812400362</v>
      </c>
      <c r="F168" s="43">
        <v>7.374</v>
      </c>
      <c r="G168" s="49">
        <f t="shared" si="1"/>
        <v>0.07374</v>
      </c>
      <c r="H168" s="50">
        <f t="shared" si="2"/>
        <v>0.0001949447009</v>
      </c>
      <c r="I168" s="51">
        <f t="shared" si="5"/>
        <v>-0.003391771673</v>
      </c>
    </row>
    <row r="169">
      <c r="A169" s="13">
        <v>43560.0</v>
      </c>
      <c r="B169" s="11">
        <v>127.8187</v>
      </c>
      <c r="C169" s="65">
        <f t="shared" si="3"/>
        <v>0.00546078844</v>
      </c>
      <c r="D169" s="42">
        <v>11584.3</v>
      </c>
      <c r="E169" s="40">
        <f t="shared" si="4"/>
        <v>-0.007509456432</v>
      </c>
      <c r="F169" s="43">
        <v>7.367</v>
      </c>
      <c r="G169" s="49">
        <f t="shared" si="1"/>
        <v>0.07367</v>
      </c>
      <c r="H169" s="50">
        <f t="shared" si="2"/>
        <v>0.0001947660502</v>
      </c>
      <c r="I169" s="51">
        <f t="shared" si="5"/>
        <v>-0.0009164175174</v>
      </c>
    </row>
    <row r="170">
      <c r="A170" s="13">
        <v>43563.0</v>
      </c>
      <c r="B170" s="11">
        <v>127.2592</v>
      </c>
      <c r="C170" s="65">
        <f t="shared" si="3"/>
        <v>-0.004377293776</v>
      </c>
      <c r="D170" s="42">
        <v>11596.7</v>
      </c>
      <c r="E170" s="40">
        <f t="shared" si="4"/>
        <v>0.001070414268</v>
      </c>
      <c r="F170" s="43">
        <v>7.371</v>
      </c>
      <c r="G170" s="49">
        <f t="shared" si="1"/>
        <v>0.07371</v>
      </c>
      <c r="H170" s="50">
        <f t="shared" si="2"/>
        <v>0.0001948681378</v>
      </c>
      <c r="I170" s="51">
        <f t="shared" si="5"/>
        <v>0.0005241547925</v>
      </c>
    </row>
    <row r="171">
      <c r="A171" s="13">
        <v>43564.0</v>
      </c>
      <c r="B171" s="11">
        <v>127.8728</v>
      </c>
      <c r="C171" s="65">
        <f t="shared" si="3"/>
        <v>0.00482165533</v>
      </c>
      <c r="D171" s="42">
        <v>11643.45</v>
      </c>
      <c r="E171" s="40">
        <f t="shared" si="4"/>
        <v>0.004031319255</v>
      </c>
      <c r="F171" s="43">
        <v>7.409</v>
      </c>
      <c r="G171" s="49">
        <f t="shared" si="1"/>
        <v>0.07409</v>
      </c>
      <c r="H171" s="50">
        <f t="shared" si="2"/>
        <v>0.0001958377805</v>
      </c>
      <c r="I171" s="51">
        <f t="shared" si="5"/>
        <v>0.004975891385</v>
      </c>
    </row>
    <row r="172">
      <c r="A172" s="7">
        <v>43565.0</v>
      </c>
      <c r="B172" s="11">
        <v>126.9994</v>
      </c>
      <c r="C172" s="65">
        <f t="shared" si="3"/>
        <v>-0.006830225036</v>
      </c>
      <c r="D172" s="42">
        <v>11690.35</v>
      </c>
      <c r="E172" s="40">
        <f t="shared" si="4"/>
        <v>0.004028015751</v>
      </c>
      <c r="F172" s="43">
        <v>7.392</v>
      </c>
      <c r="G172" s="49">
        <f t="shared" si="1"/>
        <v>0.07392</v>
      </c>
      <c r="H172" s="50">
        <f t="shared" si="2"/>
        <v>0.0001954040352</v>
      </c>
      <c r="I172" s="51">
        <f t="shared" si="5"/>
        <v>-0.002214818921</v>
      </c>
    </row>
    <row r="173">
      <c r="A173" s="7">
        <v>43566.0</v>
      </c>
      <c r="B173" s="11">
        <v>126.8261</v>
      </c>
      <c r="C173" s="65">
        <f t="shared" si="3"/>
        <v>-0.001364573376</v>
      </c>
      <c r="D173" s="42">
        <v>11787.15</v>
      </c>
      <c r="E173" s="40">
        <f t="shared" si="4"/>
        <v>0.00828033378</v>
      </c>
      <c r="F173" s="43">
        <v>7.39</v>
      </c>
      <c r="G173" s="49">
        <f t="shared" si="1"/>
        <v>0.0739</v>
      </c>
      <c r="H173" s="50">
        <f t="shared" si="2"/>
        <v>0.0001953530019</v>
      </c>
      <c r="I173" s="51">
        <f t="shared" si="5"/>
        <v>-0.0002611683595</v>
      </c>
    </row>
    <row r="174">
      <c r="A174" s="7">
        <v>43567.0</v>
      </c>
      <c r="B174" s="11">
        <v>127.5055</v>
      </c>
      <c r="C174" s="65">
        <f t="shared" si="3"/>
        <v>0.005356941513</v>
      </c>
      <c r="D174" s="42">
        <v>11752.8</v>
      </c>
      <c r="E174" s="40">
        <f t="shared" si="4"/>
        <v>-0.002914190453</v>
      </c>
      <c r="F174" s="43">
        <v>7.42</v>
      </c>
      <c r="G174" s="49">
        <f t="shared" si="1"/>
        <v>0.0742</v>
      </c>
      <c r="H174" s="50">
        <f t="shared" si="2"/>
        <v>0.0001961184026</v>
      </c>
      <c r="I174" s="51">
        <f t="shared" si="5"/>
        <v>0.003918039437</v>
      </c>
    </row>
    <row r="175">
      <c r="A175" s="7">
        <v>43570.0</v>
      </c>
      <c r="B175" s="11">
        <v>128.0253</v>
      </c>
      <c r="C175" s="65">
        <f t="shared" si="3"/>
        <v>0.004076686888</v>
      </c>
      <c r="D175" s="42">
        <v>11594.45</v>
      </c>
      <c r="E175" s="40">
        <f t="shared" si="4"/>
        <v>-0.01347338507</v>
      </c>
      <c r="F175" s="43">
        <v>7.474</v>
      </c>
      <c r="G175" s="49">
        <f t="shared" si="1"/>
        <v>0.07474</v>
      </c>
      <c r="H175" s="50">
        <f t="shared" si="2"/>
        <v>0.000197495587</v>
      </c>
      <c r="I175" s="51">
        <f t="shared" si="5"/>
        <v>0.007022208607</v>
      </c>
    </row>
    <row r="176">
      <c r="A176" s="7">
        <v>43571.0</v>
      </c>
      <c r="B176" s="11">
        <v>129.1082</v>
      </c>
      <c r="C176" s="65">
        <f t="shared" si="3"/>
        <v>0.008458484378</v>
      </c>
      <c r="D176" s="42">
        <v>11575.95</v>
      </c>
      <c r="E176" s="40">
        <f t="shared" si="4"/>
        <v>-0.001595590994</v>
      </c>
      <c r="F176" s="43">
        <v>7.473</v>
      </c>
      <c r="G176" s="49">
        <f t="shared" si="1"/>
        <v>0.07473</v>
      </c>
      <c r="H176" s="50">
        <f t="shared" si="2"/>
        <v>0.0001974700898</v>
      </c>
      <c r="I176" s="51">
        <f t="shared" si="5"/>
        <v>-0.0001291023365</v>
      </c>
    </row>
    <row r="177">
      <c r="A177" s="7">
        <v>43573.0</v>
      </c>
      <c r="B177" s="11">
        <v>128.4515</v>
      </c>
      <c r="C177" s="65">
        <f t="shared" si="3"/>
        <v>-0.005086431381</v>
      </c>
      <c r="D177" s="42">
        <v>11726.15</v>
      </c>
      <c r="E177" s="40">
        <f t="shared" si="4"/>
        <v>0.01297517698</v>
      </c>
      <c r="F177" s="43">
        <v>7.424</v>
      </c>
      <c r="G177" s="49">
        <f t="shared" si="1"/>
        <v>0.07424</v>
      </c>
      <c r="H177" s="50">
        <f t="shared" si="2"/>
        <v>0.00019622044</v>
      </c>
      <c r="I177" s="51">
        <f t="shared" si="5"/>
        <v>-0.006328299469</v>
      </c>
    </row>
    <row r="178">
      <c r="A178" s="7">
        <v>43577.0</v>
      </c>
      <c r="B178" s="11">
        <v>126.9451</v>
      </c>
      <c r="C178" s="65">
        <f t="shared" si="3"/>
        <v>-0.01172738349</v>
      </c>
      <c r="D178" s="42">
        <v>11641.8</v>
      </c>
      <c r="E178" s="40">
        <f t="shared" si="4"/>
        <v>-0.007193324322</v>
      </c>
      <c r="F178" s="43">
        <v>7.451</v>
      </c>
      <c r="G178" s="49">
        <f t="shared" si="1"/>
        <v>0.07451</v>
      </c>
      <c r="H178" s="50">
        <f t="shared" si="2"/>
        <v>0.0001969090928</v>
      </c>
      <c r="I178" s="51">
        <f t="shared" si="5"/>
        <v>0.003509587878</v>
      </c>
    </row>
    <row r="179">
      <c r="A179" s="7">
        <v>43578.0</v>
      </c>
      <c r="B179" s="11">
        <v>126.3527</v>
      </c>
      <c r="C179" s="65">
        <f t="shared" si="3"/>
        <v>-0.004666584216</v>
      </c>
      <c r="D179" s="42">
        <v>11754.65</v>
      </c>
      <c r="E179" s="40">
        <f t="shared" si="4"/>
        <v>0.009693518184</v>
      </c>
      <c r="F179" s="43">
        <v>7.408</v>
      </c>
      <c r="G179" s="49">
        <f t="shared" si="1"/>
        <v>0.07408</v>
      </c>
      <c r="H179" s="50">
        <f t="shared" si="2"/>
        <v>0.0001958122679</v>
      </c>
      <c r="I179" s="51">
        <f t="shared" si="5"/>
        <v>-0.005570209646</v>
      </c>
    </row>
    <row r="180">
      <c r="A180" s="7">
        <v>43579.0</v>
      </c>
      <c r="B180" s="11">
        <v>127.4948</v>
      </c>
      <c r="C180" s="65">
        <f t="shared" si="3"/>
        <v>0.009038983734</v>
      </c>
      <c r="D180" s="42">
        <v>11748.15</v>
      </c>
      <c r="E180" s="40">
        <f t="shared" si="4"/>
        <v>-0.0005529726534</v>
      </c>
      <c r="F180" s="43">
        <v>7.414</v>
      </c>
      <c r="G180" s="49">
        <f t="shared" si="1"/>
        <v>0.07414</v>
      </c>
      <c r="H180" s="50">
        <f t="shared" si="2"/>
        <v>0.0001959653395</v>
      </c>
      <c r="I180" s="51">
        <f t="shared" si="5"/>
        <v>0.0007817264266</v>
      </c>
    </row>
    <row r="181">
      <c r="A181" s="7">
        <v>43580.0</v>
      </c>
      <c r="B181" s="11">
        <v>126.6601</v>
      </c>
      <c r="C181" s="65">
        <f t="shared" si="3"/>
        <v>-0.006546933679</v>
      </c>
      <c r="D181" s="42">
        <v>11724.75</v>
      </c>
      <c r="E181" s="40">
        <f t="shared" si="4"/>
        <v>-0.001991802965</v>
      </c>
      <c r="F181" s="43">
        <v>7.386</v>
      </c>
      <c r="G181" s="49">
        <f t="shared" si="1"/>
        <v>0.07386</v>
      </c>
      <c r="H181" s="50">
        <f t="shared" si="2"/>
        <v>0.0001952509323</v>
      </c>
      <c r="I181" s="51">
        <f t="shared" si="5"/>
        <v>-0.003645579444</v>
      </c>
    </row>
    <row r="182">
      <c r="A182" s="7">
        <v>43581.0</v>
      </c>
      <c r="B182" s="11">
        <v>127.8067</v>
      </c>
      <c r="C182" s="65">
        <f t="shared" si="3"/>
        <v>0.009052574568</v>
      </c>
      <c r="D182" s="42">
        <v>11712.25</v>
      </c>
      <c r="E182" s="40">
        <f t="shared" si="4"/>
        <v>-0.001066120813</v>
      </c>
      <c r="F182" s="43">
        <v>7.397</v>
      </c>
      <c r="G182" s="49">
        <f t="shared" si="1"/>
        <v>0.07397</v>
      </c>
      <c r="H182" s="50">
        <f t="shared" si="2"/>
        <v>0.0001955316145</v>
      </c>
      <c r="I182" s="51">
        <f t="shared" si="5"/>
        <v>0.001437545651</v>
      </c>
    </row>
    <row r="183">
      <c r="A183" s="7">
        <v>43585.0</v>
      </c>
      <c r="B183" s="11">
        <v>127.4466</v>
      </c>
      <c r="C183" s="65">
        <f t="shared" si="3"/>
        <v>-0.00281753617</v>
      </c>
      <c r="D183" s="42">
        <v>11598.25</v>
      </c>
      <c r="E183" s="40">
        <f t="shared" si="4"/>
        <v>-0.009733398792</v>
      </c>
      <c r="F183" s="43">
        <v>7.394</v>
      </c>
      <c r="G183" s="49">
        <f t="shared" si="1"/>
        <v>0.07394</v>
      </c>
      <c r="H183" s="50">
        <f t="shared" si="2"/>
        <v>0.0001954550676</v>
      </c>
      <c r="I183" s="51">
        <f t="shared" si="5"/>
        <v>-0.0003914805705</v>
      </c>
    </row>
    <row r="184">
      <c r="A184" s="66">
        <v>43587.0</v>
      </c>
      <c r="B184" s="11">
        <v>126.8189</v>
      </c>
      <c r="C184" s="65">
        <f t="shared" si="3"/>
        <v>-0.004925200045</v>
      </c>
      <c r="D184" s="42">
        <v>11497.9</v>
      </c>
      <c r="E184" s="40">
        <f t="shared" si="4"/>
        <v>-0.008652167353</v>
      </c>
      <c r="F184" s="43">
        <v>7.382</v>
      </c>
      <c r="G184" s="49">
        <f t="shared" si="1"/>
        <v>0.07382</v>
      </c>
      <c r="H184" s="50">
        <f t="shared" si="2"/>
        <v>0.000195148859</v>
      </c>
      <c r="I184" s="51">
        <f t="shared" si="5"/>
        <v>-0.001566644662</v>
      </c>
    </row>
    <row r="185">
      <c r="A185" s="66">
        <v>43588.0</v>
      </c>
      <c r="B185" s="11">
        <v>126.5899</v>
      </c>
      <c r="C185" s="65">
        <f t="shared" si="3"/>
        <v>-0.001805724541</v>
      </c>
      <c r="D185" s="42">
        <v>11359.45</v>
      </c>
      <c r="E185" s="40">
        <f t="shared" si="4"/>
        <v>-0.01204132929</v>
      </c>
      <c r="F185" s="43">
        <v>7.375</v>
      </c>
      <c r="G185" s="49">
        <f t="shared" si="1"/>
        <v>0.07375</v>
      </c>
      <c r="H185" s="50">
        <f t="shared" si="2"/>
        <v>0.0001949702215</v>
      </c>
      <c r="I185" s="51">
        <f t="shared" si="5"/>
        <v>-0.0009153907749</v>
      </c>
    </row>
    <row r="186">
      <c r="A186" s="66">
        <v>43591.0</v>
      </c>
      <c r="B186" s="11">
        <v>125.7392</v>
      </c>
      <c r="C186" s="65">
        <f t="shared" si="3"/>
        <v>-0.006720125381</v>
      </c>
      <c r="D186" s="42">
        <v>11301.8</v>
      </c>
      <c r="E186" s="40">
        <f t="shared" si="4"/>
        <v>-0.005075069656</v>
      </c>
      <c r="F186" s="43">
        <v>7.397</v>
      </c>
      <c r="G186" s="49">
        <f t="shared" si="1"/>
        <v>0.07397</v>
      </c>
      <c r="H186" s="50">
        <f t="shared" si="2"/>
        <v>0.0001955316145</v>
      </c>
      <c r="I186" s="51">
        <f t="shared" si="5"/>
        <v>0.002879377821</v>
      </c>
    </row>
    <row r="187">
      <c r="A187" s="66">
        <v>43592.0</v>
      </c>
      <c r="B187" s="11">
        <v>124.7516</v>
      </c>
      <c r="C187" s="65">
        <f t="shared" si="3"/>
        <v>-0.007854352501</v>
      </c>
      <c r="D187" s="42">
        <v>11278.9</v>
      </c>
      <c r="E187" s="40">
        <f t="shared" si="4"/>
        <v>-0.002026225911</v>
      </c>
      <c r="F187" s="43">
        <v>7.413</v>
      </c>
      <c r="G187" s="49">
        <f t="shared" si="1"/>
        <v>0.07413</v>
      </c>
      <c r="H187" s="50">
        <f t="shared" si="2"/>
        <v>0.0001959398282</v>
      </c>
      <c r="I187" s="51">
        <f t="shared" si="5"/>
        <v>0.002087712214</v>
      </c>
    </row>
    <row r="188">
      <c r="A188" s="66">
        <v>43593.0</v>
      </c>
      <c r="B188" s="11">
        <v>123.5459</v>
      </c>
      <c r="C188" s="65">
        <f t="shared" si="3"/>
        <v>-0.009664805902</v>
      </c>
      <c r="D188" s="42">
        <v>11148.2</v>
      </c>
      <c r="E188" s="40">
        <f t="shared" si="4"/>
        <v>-0.01158800947</v>
      </c>
      <c r="F188" s="43">
        <v>7.388</v>
      </c>
      <c r="G188" s="49">
        <f t="shared" si="1"/>
        <v>0.07388</v>
      </c>
      <c r="H188" s="50">
        <f t="shared" si="2"/>
        <v>0.0001953019676</v>
      </c>
      <c r="I188" s="51">
        <f t="shared" si="5"/>
        <v>-0.003255390327</v>
      </c>
    </row>
    <row r="189">
      <c r="A189" s="66">
        <v>43594.0</v>
      </c>
      <c r="B189" s="11">
        <v>123.1441</v>
      </c>
      <c r="C189" s="65">
        <f t="shared" si="3"/>
        <v>-0.003252232571</v>
      </c>
      <c r="D189" s="42">
        <v>11222.05</v>
      </c>
      <c r="E189" s="40">
        <f t="shared" si="4"/>
        <v>0.006624387794</v>
      </c>
      <c r="F189" s="43">
        <v>7.378</v>
      </c>
      <c r="G189" s="49">
        <f t="shared" si="1"/>
        <v>0.07378</v>
      </c>
      <c r="H189" s="50">
        <f t="shared" si="2"/>
        <v>0.0001950467819</v>
      </c>
      <c r="I189" s="51">
        <f t="shared" si="5"/>
        <v>-0.001306621317</v>
      </c>
    </row>
    <row r="190">
      <c r="A190" s="61">
        <v>43595.0</v>
      </c>
      <c r="B190" s="11">
        <v>123.0826</v>
      </c>
      <c r="C190" s="65">
        <f t="shared" si="3"/>
        <v>-0.0004994149131</v>
      </c>
      <c r="D190" s="42">
        <v>11157.0</v>
      </c>
      <c r="E190" s="40">
        <f t="shared" si="4"/>
        <v>-0.005796623612</v>
      </c>
      <c r="F190" s="43">
        <v>7.379</v>
      </c>
      <c r="G190" s="49">
        <f t="shared" si="1"/>
        <v>0.07379</v>
      </c>
      <c r="H190" s="50">
        <f t="shared" si="2"/>
        <v>0.0001950723015</v>
      </c>
      <c r="I190" s="51">
        <f t="shared" si="5"/>
        <v>0.000130838548</v>
      </c>
    </row>
    <row r="191">
      <c r="A191" s="61">
        <v>43598.0</v>
      </c>
      <c r="B191" s="11">
        <v>121.3944</v>
      </c>
      <c r="C191" s="65">
        <f t="shared" si="3"/>
        <v>-0.01371599235</v>
      </c>
      <c r="D191" s="42">
        <v>11257.1</v>
      </c>
      <c r="E191" s="40">
        <f t="shared" si="4"/>
        <v>0.008971945864</v>
      </c>
      <c r="F191" s="43">
        <v>7.377</v>
      </c>
      <c r="G191" s="49">
        <f t="shared" si="1"/>
        <v>0.07377</v>
      </c>
      <c r="H191" s="50">
        <f t="shared" si="2"/>
        <v>0.000195021262</v>
      </c>
      <c r="I191" s="51">
        <f t="shared" si="5"/>
        <v>-0.0002616440788</v>
      </c>
    </row>
    <row r="192">
      <c r="A192" s="61">
        <v>43599.0</v>
      </c>
      <c r="B192" s="11">
        <v>122.1353</v>
      </c>
      <c r="C192" s="65">
        <f t="shared" si="3"/>
        <v>0.006103246937</v>
      </c>
      <c r="D192" s="42">
        <v>11407.15</v>
      </c>
      <c r="E192" s="40">
        <f t="shared" si="4"/>
        <v>0.01332936547</v>
      </c>
      <c r="F192" s="43">
        <v>7.362</v>
      </c>
      <c r="G192" s="49">
        <f t="shared" si="1"/>
        <v>0.07362</v>
      </c>
      <c r="H192" s="50">
        <f t="shared" si="2"/>
        <v>0.0001946384354</v>
      </c>
      <c r="I192" s="51">
        <f t="shared" si="5"/>
        <v>-0.001962999132</v>
      </c>
    </row>
    <row r="193">
      <c r="A193" s="61">
        <v>43600.0</v>
      </c>
      <c r="B193" s="11">
        <v>121.4274</v>
      </c>
      <c r="C193" s="65">
        <f t="shared" si="3"/>
        <v>-0.005796031123</v>
      </c>
      <c r="D193" s="42">
        <v>11828.25</v>
      </c>
      <c r="E193" s="40">
        <f t="shared" si="4"/>
        <v>0.03691544338</v>
      </c>
      <c r="F193" s="43">
        <v>7.286</v>
      </c>
      <c r="G193" s="49">
        <f t="shared" si="1"/>
        <v>0.07286</v>
      </c>
      <c r="H193" s="50">
        <f t="shared" si="2"/>
        <v>0.0001926979607</v>
      </c>
      <c r="I193" s="51">
        <f t="shared" si="5"/>
        <v>-0.009969638048</v>
      </c>
    </row>
    <row r="194">
      <c r="A194" s="61">
        <v>43601.0</v>
      </c>
      <c r="B194" s="11">
        <v>121.8508</v>
      </c>
      <c r="C194" s="65">
        <f t="shared" si="3"/>
        <v>0.003486857167</v>
      </c>
      <c r="D194" s="42">
        <v>11709.1</v>
      </c>
      <c r="E194" s="40">
        <f t="shared" si="4"/>
        <v>-0.01007334136</v>
      </c>
      <c r="F194" s="43">
        <v>7.303</v>
      </c>
      <c r="G194" s="49">
        <f t="shared" si="1"/>
        <v>0.07303</v>
      </c>
      <c r="H194" s="50">
        <f t="shared" si="2"/>
        <v>0.0001931321332</v>
      </c>
      <c r="I194" s="51">
        <f t="shared" si="5"/>
        <v>0.002253124826</v>
      </c>
    </row>
    <row r="195">
      <c r="A195" s="61">
        <v>43602.0</v>
      </c>
      <c r="B195" s="11">
        <v>123.1553</v>
      </c>
      <c r="C195" s="65">
        <f t="shared" si="3"/>
        <v>0.01070571551</v>
      </c>
      <c r="D195" s="42">
        <v>11737.9</v>
      </c>
      <c r="E195" s="40">
        <f t="shared" si="4"/>
        <v>0.00245962542</v>
      </c>
      <c r="F195" s="43">
        <v>7.26</v>
      </c>
      <c r="G195" s="49">
        <f t="shared" si="1"/>
        <v>0.0726</v>
      </c>
      <c r="H195" s="50">
        <f t="shared" si="2"/>
        <v>0.0001920337993</v>
      </c>
      <c r="I195" s="51">
        <f t="shared" si="5"/>
        <v>-0.005686955788</v>
      </c>
    </row>
    <row r="196">
      <c r="A196" s="61">
        <v>43605.0</v>
      </c>
      <c r="B196" s="11">
        <v>127.3338</v>
      </c>
      <c r="C196" s="65">
        <f t="shared" si="3"/>
        <v>0.03392870628</v>
      </c>
      <c r="D196" s="42">
        <v>11657.05</v>
      </c>
      <c r="E196" s="40">
        <f t="shared" si="4"/>
        <v>-0.006887944181</v>
      </c>
      <c r="F196" s="43">
        <v>7.239</v>
      </c>
      <c r="G196" s="49">
        <f t="shared" si="1"/>
        <v>0.07239</v>
      </c>
      <c r="H196" s="50">
        <f t="shared" si="2"/>
        <v>0.0001914972441</v>
      </c>
      <c r="I196" s="51">
        <f t="shared" si="5"/>
        <v>-0.002794066612</v>
      </c>
    </row>
    <row r="197">
      <c r="A197" s="61">
        <v>43606.0</v>
      </c>
      <c r="B197" s="11">
        <v>125.7961</v>
      </c>
      <c r="C197" s="65">
        <f t="shared" si="3"/>
        <v>-0.01207613375</v>
      </c>
      <c r="D197" s="42">
        <v>11844.1</v>
      </c>
      <c r="E197" s="40">
        <f t="shared" si="4"/>
        <v>0.0160460837</v>
      </c>
      <c r="F197" s="43">
        <v>7.226</v>
      </c>
      <c r="G197" s="49">
        <f t="shared" si="1"/>
        <v>0.07226</v>
      </c>
      <c r="H197" s="50">
        <f t="shared" si="2"/>
        <v>0.0001911650384</v>
      </c>
      <c r="I197" s="51">
        <f t="shared" si="5"/>
        <v>-0.001734780833</v>
      </c>
    </row>
    <row r="198">
      <c r="A198" s="61">
        <v>43607.0</v>
      </c>
      <c r="B198" s="11">
        <v>126.1064</v>
      </c>
      <c r="C198" s="65">
        <f t="shared" si="3"/>
        <v>0.002466690144</v>
      </c>
      <c r="D198" s="42">
        <v>11924.75</v>
      </c>
      <c r="E198" s="40">
        <f t="shared" si="4"/>
        <v>0.006809297456</v>
      </c>
      <c r="F198" s="43">
        <v>7.167</v>
      </c>
      <c r="G198" s="49">
        <f t="shared" si="1"/>
        <v>0.07167</v>
      </c>
      <c r="H198" s="50">
        <f t="shared" si="2"/>
        <v>0.0001896568304</v>
      </c>
      <c r="I198" s="51">
        <f t="shared" si="5"/>
        <v>-0.00788955977</v>
      </c>
    </row>
    <row r="199">
      <c r="A199" s="61">
        <v>43608.0</v>
      </c>
      <c r="B199" s="11">
        <v>125.6278</v>
      </c>
      <c r="C199" s="65">
        <f t="shared" si="3"/>
        <v>-0.003795207856</v>
      </c>
      <c r="D199" s="42">
        <v>11928.75</v>
      </c>
      <c r="E199" s="40">
        <f t="shared" si="4"/>
        <v>0.0003354368016</v>
      </c>
      <c r="F199" s="43">
        <v>7.149</v>
      </c>
      <c r="G199" s="49">
        <f t="shared" si="1"/>
        <v>0.07149</v>
      </c>
      <c r="H199" s="50">
        <f t="shared" si="2"/>
        <v>0.0001891965342</v>
      </c>
      <c r="I199" s="51">
        <f t="shared" si="5"/>
        <v>-0.002426994618</v>
      </c>
    </row>
    <row r="200">
      <c r="A200" s="61">
        <v>43609.0</v>
      </c>
      <c r="B200" s="11">
        <v>128.0814</v>
      </c>
      <c r="C200" s="65">
        <f t="shared" si="3"/>
        <v>0.01953070897</v>
      </c>
      <c r="D200" s="42">
        <v>11861.1</v>
      </c>
      <c r="E200" s="40">
        <f t="shared" si="4"/>
        <v>-0.005671172587</v>
      </c>
      <c r="F200" s="43">
        <v>7.125</v>
      </c>
      <c r="G200" s="49">
        <f t="shared" si="1"/>
        <v>0.07125</v>
      </c>
      <c r="H200" s="50">
        <f t="shared" si="2"/>
        <v>0.0001885826861</v>
      </c>
      <c r="I200" s="51">
        <f t="shared" si="5"/>
        <v>-0.003244499766</v>
      </c>
    </row>
    <row r="201">
      <c r="A201" s="61">
        <v>43612.0</v>
      </c>
      <c r="B201" s="11">
        <v>129.133</v>
      </c>
      <c r="C201" s="65">
        <f t="shared" si="3"/>
        <v>0.008210403696</v>
      </c>
      <c r="D201" s="42">
        <v>11945.9</v>
      </c>
      <c r="E201" s="40">
        <f t="shared" si="4"/>
        <v>0.007149421217</v>
      </c>
      <c r="F201" s="43">
        <v>7.133</v>
      </c>
      <c r="G201" s="49">
        <f t="shared" si="1"/>
        <v>0.07133</v>
      </c>
      <c r="H201" s="50">
        <f t="shared" si="2"/>
        <v>0.0001887873174</v>
      </c>
      <c r="I201" s="51">
        <f t="shared" si="5"/>
        <v>0.001085101069</v>
      </c>
    </row>
    <row r="202">
      <c r="A202" s="61">
        <v>43613.0</v>
      </c>
      <c r="B202" s="11">
        <v>129.4738</v>
      </c>
      <c r="C202" s="65">
        <f t="shared" si="3"/>
        <v>0.002639139492</v>
      </c>
      <c r="D202" s="42">
        <v>11922.8</v>
      </c>
      <c r="E202" s="40">
        <f t="shared" si="4"/>
        <v>-0.001933717845</v>
      </c>
      <c r="F202" s="43">
        <v>7.032</v>
      </c>
      <c r="G202" s="49">
        <f t="shared" si="1"/>
        <v>0.07032</v>
      </c>
      <c r="H202" s="50">
        <f t="shared" si="2"/>
        <v>0.0001862027286</v>
      </c>
      <c r="I202" s="51">
        <f t="shared" si="5"/>
        <v>-0.01369047904</v>
      </c>
    </row>
    <row r="203">
      <c r="A203" s="61">
        <v>43614.0</v>
      </c>
      <c r="B203" s="11">
        <v>128.7289</v>
      </c>
      <c r="C203" s="65">
        <f t="shared" si="3"/>
        <v>-0.005753287538</v>
      </c>
      <c r="D203" s="42">
        <v>12088.55</v>
      </c>
      <c r="E203" s="40">
        <f t="shared" si="4"/>
        <v>0.01390193579</v>
      </c>
      <c r="F203" s="43">
        <v>6.982</v>
      </c>
      <c r="G203" s="49">
        <f t="shared" si="1"/>
        <v>0.06982</v>
      </c>
      <c r="H203" s="50">
        <f t="shared" si="2"/>
        <v>0.000184922329</v>
      </c>
      <c r="I203" s="51">
        <f t="shared" si="5"/>
        <v>-0.006876374162</v>
      </c>
    </row>
    <row r="204">
      <c r="A204" s="61">
        <v>43615.0</v>
      </c>
      <c r="B204" s="11">
        <v>129.3653</v>
      </c>
      <c r="C204" s="65">
        <f t="shared" si="3"/>
        <v>0.004943722816</v>
      </c>
      <c r="D204" s="42">
        <v>12021.65</v>
      </c>
      <c r="E204" s="40">
        <f t="shared" si="4"/>
        <v>-0.005534162493</v>
      </c>
      <c r="F204" s="43">
        <v>7.022</v>
      </c>
      <c r="G204" s="49">
        <f t="shared" si="1"/>
        <v>0.07022</v>
      </c>
      <c r="H204" s="50">
        <f t="shared" si="2"/>
        <v>0.0001859466964</v>
      </c>
      <c r="I204" s="51">
        <f t="shared" si="5"/>
        <v>0.005539446956</v>
      </c>
    </row>
    <row r="205">
      <c r="A205" s="61">
        <v>43616.0</v>
      </c>
      <c r="B205" s="11">
        <v>129.4893</v>
      </c>
      <c r="C205" s="65">
        <f t="shared" si="3"/>
        <v>0.0009585259726</v>
      </c>
      <c r="D205" s="42">
        <v>11843.75</v>
      </c>
      <c r="E205" s="40">
        <f t="shared" si="4"/>
        <v>-0.0147983014</v>
      </c>
      <c r="F205" s="43">
        <v>6.931</v>
      </c>
      <c r="G205" s="49">
        <f t="shared" si="1"/>
        <v>0.06931</v>
      </c>
      <c r="H205" s="50">
        <f t="shared" si="2"/>
        <v>0.0001836157064</v>
      </c>
      <c r="I205" s="51">
        <f t="shared" si="5"/>
        <v>-0.01253579682</v>
      </c>
    </row>
    <row r="206">
      <c r="A206" s="13">
        <v>43619.0</v>
      </c>
      <c r="B206" s="11">
        <v>130.7577</v>
      </c>
      <c r="C206" s="65">
        <f t="shared" si="3"/>
        <v>0.009795403945</v>
      </c>
      <c r="D206" s="42">
        <v>11870.65</v>
      </c>
      <c r="E206" s="40">
        <f t="shared" si="4"/>
        <v>0.002271240106</v>
      </c>
      <c r="F206" s="43">
        <v>6.974</v>
      </c>
      <c r="G206" s="49">
        <f t="shared" si="1"/>
        <v>0.06974</v>
      </c>
      <c r="H206" s="50">
        <f t="shared" si="2"/>
        <v>0.0001847174096</v>
      </c>
      <c r="I206" s="51">
        <f t="shared" si="5"/>
        <v>0.006000049092</v>
      </c>
    </row>
    <row r="207">
      <c r="A207" s="13">
        <v>43620.0</v>
      </c>
      <c r="B207" s="11">
        <v>130.1311</v>
      </c>
      <c r="C207" s="65">
        <f t="shared" si="3"/>
        <v>-0.004792069607</v>
      </c>
      <c r="D207" s="42">
        <v>11922.7</v>
      </c>
      <c r="E207" s="40">
        <f t="shared" si="4"/>
        <v>0.004384764103</v>
      </c>
      <c r="F207" s="43">
        <v>7.077</v>
      </c>
      <c r="G207" s="49">
        <f t="shared" si="1"/>
        <v>0.07077</v>
      </c>
      <c r="H207" s="50">
        <f t="shared" si="2"/>
        <v>0.0001873545784</v>
      </c>
      <c r="I207" s="51">
        <f t="shared" si="5"/>
        <v>0.01427677403</v>
      </c>
    </row>
    <row r="208">
      <c r="A208" s="13">
        <v>43622.0</v>
      </c>
      <c r="B208" s="11">
        <v>127.9562</v>
      </c>
      <c r="C208" s="65">
        <f t="shared" si="3"/>
        <v>-0.01671314544</v>
      </c>
      <c r="D208" s="42">
        <v>11965.6</v>
      </c>
      <c r="E208" s="40">
        <f t="shared" si="4"/>
        <v>0.003598178265</v>
      </c>
      <c r="F208" s="43">
        <v>7.037</v>
      </c>
      <c r="G208" s="49">
        <f t="shared" si="1"/>
        <v>0.07037</v>
      </c>
      <c r="H208" s="50">
        <f t="shared" si="2"/>
        <v>0.0001863307358</v>
      </c>
      <c r="I208" s="51">
        <f t="shared" si="5"/>
        <v>-0.005464732267</v>
      </c>
    </row>
    <row r="209">
      <c r="A209" s="13">
        <v>43623.0</v>
      </c>
      <c r="B209" s="11">
        <v>128.2512</v>
      </c>
      <c r="C209" s="65">
        <f t="shared" si="3"/>
        <v>0.002305476405</v>
      </c>
      <c r="D209" s="42">
        <v>11906.2</v>
      </c>
      <c r="E209" s="40">
        <f t="shared" si="4"/>
        <v>-0.004964230795</v>
      </c>
      <c r="F209" s="43">
        <v>7.012</v>
      </c>
      <c r="G209" s="49">
        <f t="shared" si="1"/>
        <v>0.07012</v>
      </c>
      <c r="H209" s="50">
        <f t="shared" si="2"/>
        <v>0.0001856906403</v>
      </c>
      <c r="I209" s="51">
        <f t="shared" si="5"/>
        <v>-0.003435264771</v>
      </c>
    </row>
    <row r="210">
      <c r="A210" s="7">
        <v>43626.0</v>
      </c>
      <c r="B210" s="11">
        <v>128.9836</v>
      </c>
      <c r="C210" s="65">
        <f t="shared" si="3"/>
        <v>0.005710667814</v>
      </c>
      <c r="D210" s="42">
        <v>11914.05</v>
      </c>
      <c r="E210" s="40">
        <f t="shared" si="4"/>
        <v>0.0006593203541</v>
      </c>
      <c r="F210" s="43">
        <v>7.009</v>
      </c>
      <c r="G210" s="49">
        <f t="shared" si="1"/>
        <v>0.07009</v>
      </c>
      <c r="H210" s="50">
        <f t="shared" si="2"/>
        <v>0.0001856138189</v>
      </c>
      <c r="I210" s="51">
        <f t="shared" si="5"/>
        <v>-0.0004137067469</v>
      </c>
    </row>
    <row r="211">
      <c r="A211" s="7">
        <v>43627.0</v>
      </c>
      <c r="B211" s="11">
        <v>129.5423</v>
      </c>
      <c r="C211" s="65">
        <f t="shared" si="3"/>
        <v>0.004331558431</v>
      </c>
      <c r="D211" s="42">
        <v>11823.3</v>
      </c>
      <c r="E211" s="40">
        <f t="shared" si="4"/>
        <v>-0.007617057172</v>
      </c>
      <c r="F211" s="43">
        <v>6.919</v>
      </c>
      <c r="G211" s="49">
        <f t="shared" si="1"/>
        <v>0.06919</v>
      </c>
      <c r="H211" s="50">
        <f t="shared" si="2"/>
        <v>0.0001833081755</v>
      </c>
      <c r="I211" s="51">
        <f t="shared" si="5"/>
        <v>-0.01242172276</v>
      </c>
    </row>
    <row r="212">
      <c r="A212" s="7">
        <v>43628.0</v>
      </c>
      <c r="B212" s="11">
        <v>128.7345</v>
      </c>
      <c r="C212" s="65">
        <f t="shared" si="3"/>
        <v>-0.00623580097</v>
      </c>
      <c r="D212" s="42">
        <v>11672.15</v>
      </c>
      <c r="E212" s="40">
        <f t="shared" si="4"/>
        <v>-0.0127840789</v>
      </c>
      <c r="F212" s="43">
        <v>6.931</v>
      </c>
      <c r="G212" s="49">
        <f t="shared" si="1"/>
        <v>0.06931</v>
      </c>
      <c r="H212" s="50">
        <f t="shared" si="2"/>
        <v>0.0001836157064</v>
      </c>
      <c r="I212" s="51">
        <f t="shared" si="5"/>
        <v>0.001677671618</v>
      </c>
    </row>
    <row r="213">
      <c r="A213" s="7">
        <v>43629.0</v>
      </c>
      <c r="B213" s="11">
        <v>128.6534</v>
      </c>
      <c r="C213" s="65">
        <f t="shared" si="3"/>
        <v>-0.0006299787547</v>
      </c>
      <c r="D213" s="42">
        <v>11691.5</v>
      </c>
      <c r="E213" s="40">
        <f t="shared" si="4"/>
        <v>0.001657792266</v>
      </c>
      <c r="F213" s="43">
        <v>6.808</v>
      </c>
      <c r="G213" s="49">
        <f t="shared" si="1"/>
        <v>0.06808</v>
      </c>
      <c r="H213" s="50">
        <f t="shared" si="2"/>
        <v>0.0001804618816</v>
      </c>
      <c r="I213" s="51">
        <f t="shared" si="5"/>
        <v>-0.01717622581</v>
      </c>
    </row>
    <row r="214">
      <c r="A214" s="7">
        <v>43630.0</v>
      </c>
      <c r="B214" s="11">
        <v>127.6638</v>
      </c>
      <c r="C214" s="65">
        <f t="shared" si="3"/>
        <v>-0.007691984821</v>
      </c>
      <c r="D214" s="42">
        <v>11691.45</v>
      </c>
      <c r="E214" s="40">
        <f t="shared" si="4"/>
        <v>-0.000004276611213</v>
      </c>
      <c r="F214" s="43">
        <v>6.841</v>
      </c>
      <c r="G214" s="49">
        <f t="shared" si="1"/>
        <v>0.06841</v>
      </c>
      <c r="H214" s="50">
        <f t="shared" si="2"/>
        <v>0.0001813083851</v>
      </c>
      <c r="I214" s="51">
        <f t="shared" si="5"/>
        <v>0.004690760715</v>
      </c>
    </row>
    <row r="215">
      <c r="A215" s="7">
        <v>43633.0</v>
      </c>
      <c r="B215" s="11">
        <v>126.2545</v>
      </c>
      <c r="C215" s="65">
        <f t="shared" si="3"/>
        <v>-0.01103915127</v>
      </c>
      <c r="D215" s="42">
        <v>11831.75</v>
      </c>
      <c r="E215" s="40">
        <f t="shared" si="4"/>
        <v>0.01200022238</v>
      </c>
      <c r="F215" s="43">
        <v>6.791</v>
      </c>
      <c r="G215" s="49">
        <f t="shared" si="1"/>
        <v>0.06791</v>
      </c>
      <c r="H215" s="50">
        <f t="shared" si="2"/>
        <v>0.0001800257022</v>
      </c>
      <c r="I215" s="51">
        <f t="shared" si="5"/>
        <v>-0.007074592074</v>
      </c>
    </row>
    <row r="216">
      <c r="A216" s="7">
        <v>43634.0</v>
      </c>
      <c r="B216" s="11">
        <v>126.5747</v>
      </c>
      <c r="C216" s="65">
        <f t="shared" si="3"/>
        <v>0.002536147226</v>
      </c>
      <c r="D216" s="42">
        <v>11724.1</v>
      </c>
      <c r="E216" s="40">
        <f t="shared" si="4"/>
        <v>-0.00909840049</v>
      </c>
      <c r="F216" s="43">
        <v>6.861</v>
      </c>
      <c r="G216" s="49">
        <f t="shared" si="1"/>
        <v>0.06861</v>
      </c>
      <c r="H216" s="50">
        <f t="shared" si="2"/>
        <v>0.0001818212906</v>
      </c>
      <c r="I216" s="51">
        <f t="shared" si="5"/>
        <v>0.009974066915</v>
      </c>
    </row>
    <row r="217">
      <c r="A217" s="7">
        <v>43635.0</v>
      </c>
      <c r="B217" s="11">
        <v>126.2283</v>
      </c>
      <c r="C217" s="65">
        <f t="shared" si="3"/>
        <v>-0.002736723848</v>
      </c>
      <c r="D217" s="42">
        <v>11699.65</v>
      </c>
      <c r="E217" s="40">
        <f t="shared" si="4"/>
        <v>-0.002085447924</v>
      </c>
      <c r="F217" s="43">
        <v>6.851</v>
      </c>
      <c r="G217" s="49">
        <f t="shared" si="1"/>
        <v>0.06851</v>
      </c>
      <c r="H217" s="50">
        <f t="shared" si="2"/>
        <v>0.0001815648498</v>
      </c>
      <c r="I217" s="51">
        <f t="shared" si="5"/>
        <v>-0.001410400288</v>
      </c>
    </row>
    <row r="218">
      <c r="A218" s="7">
        <v>43636.0</v>
      </c>
      <c r="B218" s="11">
        <v>128.0958</v>
      </c>
      <c r="C218" s="65">
        <f t="shared" si="3"/>
        <v>0.01479462213</v>
      </c>
      <c r="D218" s="42">
        <v>11796.45</v>
      </c>
      <c r="E218" s="40">
        <f t="shared" si="4"/>
        <v>0.008273751779</v>
      </c>
      <c r="F218" s="43">
        <v>6.882</v>
      </c>
      <c r="G218" s="49">
        <f t="shared" si="1"/>
        <v>0.06882</v>
      </c>
      <c r="H218" s="50">
        <f t="shared" si="2"/>
        <v>0.0001823597384</v>
      </c>
      <c r="I218" s="51">
        <f t="shared" si="5"/>
        <v>0.004377987224</v>
      </c>
    </row>
    <row r="219">
      <c r="A219" s="7">
        <v>43637.0</v>
      </c>
      <c r="B219" s="11">
        <v>127.1304</v>
      </c>
      <c r="C219" s="65">
        <f t="shared" si="3"/>
        <v>-0.007536546866</v>
      </c>
      <c r="D219" s="42">
        <v>11847.55</v>
      </c>
      <c r="E219" s="40">
        <f t="shared" si="4"/>
        <v>0.004331811689</v>
      </c>
      <c r="F219" s="43">
        <v>6.933</v>
      </c>
      <c r="G219" s="49">
        <f t="shared" si="1"/>
        <v>0.06933</v>
      </c>
      <c r="H219" s="50">
        <f t="shared" si="2"/>
        <v>0.0001836669582</v>
      </c>
      <c r="I219" s="51">
        <f t="shared" si="5"/>
        <v>0.00716835756</v>
      </c>
    </row>
    <row r="220">
      <c r="A220" s="7">
        <v>43640.0</v>
      </c>
      <c r="B220" s="11">
        <v>126.9654</v>
      </c>
      <c r="C220" s="65">
        <f t="shared" si="3"/>
        <v>-0.001297879972</v>
      </c>
      <c r="D220" s="42">
        <v>11841.55</v>
      </c>
      <c r="E220" s="40">
        <f t="shared" si="4"/>
        <v>-0.0005064338197</v>
      </c>
      <c r="F220" s="43">
        <v>6.897</v>
      </c>
      <c r="G220" s="49">
        <f t="shared" si="1"/>
        <v>0.06897</v>
      </c>
      <c r="H220" s="50">
        <f t="shared" si="2"/>
        <v>0.0001827442794</v>
      </c>
      <c r="I220" s="51">
        <f t="shared" si="5"/>
        <v>-0.005023651738</v>
      </c>
    </row>
    <row r="221">
      <c r="A221" s="7">
        <v>43641.0</v>
      </c>
      <c r="B221" s="11">
        <v>127.7252</v>
      </c>
      <c r="C221" s="65">
        <f t="shared" si="3"/>
        <v>0.005984307536</v>
      </c>
      <c r="D221" s="42">
        <v>11788.85</v>
      </c>
      <c r="E221" s="40">
        <f t="shared" si="4"/>
        <v>-0.004450430898</v>
      </c>
      <c r="F221" s="43">
        <v>6.879</v>
      </c>
      <c r="G221" s="49">
        <f t="shared" si="1"/>
        <v>0.06879</v>
      </c>
      <c r="H221" s="50">
        <f t="shared" si="2"/>
        <v>0.0001822828237</v>
      </c>
      <c r="I221" s="51">
        <f t="shared" si="5"/>
        <v>-0.002525144046</v>
      </c>
    </row>
    <row r="222">
      <c r="A222" s="7">
        <v>43642.0</v>
      </c>
      <c r="B222" s="11">
        <v>128.2003</v>
      </c>
      <c r="C222" s="65">
        <f t="shared" si="3"/>
        <v>0.003719704491</v>
      </c>
      <c r="D222" s="42">
        <v>11865.6</v>
      </c>
      <c r="E222" s="40">
        <f t="shared" si="4"/>
        <v>0.006510389054</v>
      </c>
      <c r="F222" s="43">
        <v>6.882</v>
      </c>
      <c r="G222" s="49">
        <f t="shared" si="1"/>
        <v>0.06882</v>
      </c>
      <c r="H222" s="50">
        <f t="shared" si="2"/>
        <v>0.0001823597384</v>
      </c>
      <c r="I222" s="51">
        <f t="shared" si="5"/>
        <v>0.0004219522825</v>
      </c>
    </row>
    <row r="223">
      <c r="A223" s="7">
        <v>43643.0</v>
      </c>
      <c r="B223" s="11">
        <v>128.3348</v>
      </c>
      <c r="C223" s="65">
        <f t="shared" si="3"/>
        <v>0.001049139511</v>
      </c>
      <c r="D223" s="42">
        <v>11910.3</v>
      </c>
      <c r="E223" s="40">
        <f t="shared" si="4"/>
        <v>0.003767192557</v>
      </c>
      <c r="F223" s="43">
        <v>6.846</v>
      </c>
      <c r="G223" s="49">
        <f t="shared" si="1"/>
        <v>0.06846</v>
      </c>
      <c r="H223" s="50">
        <f t="shared" si="2"/>
        <v>0.0001814366204</v>
      </c>
      <c r="I223" s="51">
        <f t="shared" si="5"/>
        <v>-0.005062071137</v>
      </c>
    </row>
    <row r="224">
      <c r="A224" s="7">
        <v>43644.0</v>
      </c>
      <c r="B224" s="11">
        <v>127.8256</v>
      </c>
      <c r="C224" s="65">
        <f t="shared" si="3"/>
        <v>-0.003967746862</v>
      </c>
      <c r="D224" s="42">
        <v>11916.75</v>
      </c>
      <c r="E224" s="40">
        <f t="shared" si="4"/>
        <v>0.0005415480718</v>
      </c>
      <c r="F224" s="43">
        <v>6.833</v>
      </c>
      <c r="G224" s="49">
        <f t="shared" si="1"/>
        <v>0.06833</v>
      </c>
      <c r="H224" s="50">
        <f t="shared" si="2"/>
        <v>0.000181103196</v>
      </c>
      <c r="I224" s="51">
        <f t="shared" si="5"/>
        <v>-0.001837690674</v>
      </c>
    </row>
    <row r="225">
      <c r="A225" s="13">
        <v>43647.0</v>
      </c>
      <c r="B225" s="11">
        <v>128.5678</v>
      </c>
      <c r="C225" s="65">
        <f t="shared" si="3"/>
        <v>0.00580634865</v>
      </c>
      <c r="D225" s="42">
        <v>11946.75</v>
      </c>
      <c r="E225" s="40">
        <f t="shared" si="4"/>
        <v>0.002517464913</v>
      </c>
      <c r="F225" s="43">
        <v>6.751</v>
      </c>
      <c r="G225" s="49">
        <f t="shared" si="1"/>
        <v>0.06751</v>
      </c>
      <c r="H225" s="50">
        <f t="shared" si="2"/>
        <v>0.0001789991246</v>
      </c>
      <c r="I225" s="51">
        <f t="shared" si="5"/>
        <v>-0.01161808</v>
      </c>
    </row>
    <row r="226">
      <c r="A226" s="13">
        <v>43648.0</v>
      </c>
      <c r="B226" s="11">
        <v>128.7376</v>
      </c>
      <c r="C226" s="65">
        <f t="shared" si="3"/>
        <v>0.00132070394</v>
      </c>
      <c r="D226" s="42">
        <v>11811.15</v>
      </c>
      <c r="E226" s="40">
        <f t="shared" si="4"/>
        <v>-0.01135036725</v>
      </c>
      <c r="F226" s="43">
        <v>6.695</v>
      </c>
      <c r="G226" s="49">
        <f t="shared" si="1"/>
        <v>0.06695</v>
      </c>
      <c r="H226" s="50">
        <f t="shared" si="2"/>
        <v>0.0001775612714</v>
      </c>
      <c r="I226" s="51">
        <f t="shared" si="5"/>
        <v>-0.008032739069</v>
      </c>
    </row>
    <row r="227">
      <c r="A227" s="13">
        <v>43649.0</v>
      </c>
      <c r="B227" s="11">
        <v>128.5892</v>
      </c>
      <c r="C227" s="65">
        <f t="shared" si="3"/>
        <v>-0.00115273238</v>
      </c>
      <c r="D227" s="42">
        <v>11558.6</v>
      </c>
      <c r="E227" s="40">
        <f t="shared" si="4"/>
        <v>-0.02138233788</v>
      </c>
      <c r="F227" s="43">
        <v>6.562</v>
      </c>
      <c r="G227" s="49">
        <f t="shared" si="1"/>
        <v>0.06562</v>
      </c>
      <c r="H227" s="50">
        <f t="shared" si="2"/>
        <v>0.0001741433513</v>
      </c>
      <c r="I227" s="51">
        <f t="shared" si="5"/>
        <v>-0.01924924287</v>
      </c>
    </row>
    <row r="228">
      <c r="A228" s="13">
        <v>43650.0</v>
      </c>
      <c r="B228" s="11">
        <v>128.961</v>
      </c>
      <c r="C228" s="65">
        <f t="shared" si="3"/>
        <v>0.002891378125</v>
      </c>
      <c r="D228" s="42">
        <v>11555.9</v>
      </c>
      <c r="E228" s="40">
        <f t="shared" si="4"/>
        <v>-0.0002335923036</v>
      </c>
      <c r="F228" s="43">
        <v>6.588</v>
      </c>
      <c r="G228" s="49">
        <f t="shared" si="1"/>
        <v>0.06588</v>
      </c>
      <c r="H228" s="50">
        <f t="shared" si="2"/>
        <v>0.0001748118506</v>
      </c>
      <c r="I228" s="51">
        <f t="shared" si="5"/>
        <v>0.003838786992</v>
      </c>
    </row>
    <row r="229">
      <c r="A229" s="13">
        <v>43651.0</v>
      </c>
      <c r="B229" s="11">
        <v>127.5418</v>
      </c>
      <c r="C229" s="65">
        <f t="shared" si="3"/>
        <v>-0.01100487744</v>
      </c>
      <c r="D229" s="42">
        <v>11498.9</v>
      </c>
      <c r="E229" s="40">
        <f t="shared" si="4"/>
        <v>-0.00493254528</v>
      </c>
      <c r="F229" s="43">
        <v>6.543</v>
      </c>
      <c r="G229" s="49">
        <f t="shared" si="1"/>
        <v>0.06543</v>
      </c>
      <c r="H229" s="50">
        <f t="shared" si="2"/>
        <v>0.0001736547298</v>
      </c>
      <c r="I229" s="51">
        <f t="shared" si="5"/>
        <v>-0.006619235314</v>
      </c>
    </row>
    <row r="230">
      <c r="A230" s="13">
        <v>43654.0</v>
      </c>
      <c r="B230" s="11">
        <v>125.4646</v>
      </c>
      <c r="C230" s="65">
        <f t="shared" si="3"/>
        <v>-0.01628642531</v>
      </c>
      <c r="D230" s="42">
        <v>11582.9</v>
      </c>
      <c r="E230" s="40">
        <f t="shared" si="4"/>
        <v>0.00730504657</v>
      </c>
      <c r="F230" s="43">
        <v>6.493</v>
      </c>
      <c r="G230" s="49">
        <f t="shared" si="1"/>
        <v>0.06493</v>
      </c>
      <c r="H230" s="50">
        <f t="shared" si="2"/>
        <v>0.0001723684683</v>
      </c>
      <c r="I230" s="51">
        <f t="shared" si="5"/>
        <v>-0.007407005366</v>
      </c>
    </row>
    <row r="231">
      <c r="A231" s="13">
        <v>43655.0</v>
      </c>
      <c r="B231" s="11">
        <v>125.2996</v>
      </c>
      <c r="C231" s="65">
        <f t="shared" si="3"/>
        <v>-0.001315111992</v>
      </c>
      <c r="D231" s="42">
        <v>11552.5</v>
      </c>
      <c r="E231" s="40">
        <f t="shared" si="4"/>
        <v>-0.002624558617</v>
      </c>
      <c r="F231" s="43">
        <v>6.488</v>
      </c>
      <c r="G231" s="49">
        <f t="shared" si="1"/>
        <v>0.06488</v>
      </c>
      <c r="H231" s="50">
        <f t="shared" si="2"/>
        <v>0.000172239809</v>
      </c>
      <c r="I231" s="51">
        <f t="shared" si="5"/>
        <v>-0.0007464200144</v>
      </c>
    </row>
    <row r="232">
      <c r="A232" s="7">
        <v>43656.0</v>
      </c>
      <c r="B232" s="11">
        <v>124.5795</v>
      </c>
      <c r="C232" s="65">
        <f t="shared" si="3"/>
        <v>-0.005747025529</v>
      </c>
      <c r="D232" s="42">
        <v>11588.35</v>
      </c>
      <c r="E232" s="40">
        <f t="shared" si="4"/>
        <v>0.00310322441</v>
      </c>
      <c r="F232" s="43">
        <v>6.433</v>
      </c>
      <c r="G232" s="49">
        <f t="shared" si="1"/>
        <v>0.06433</v>
      </c>
      <c r="H232" s="50">
        <f t="shared" si="2"/>
        <v>0.0001708241592</v>
      </c>
      <c r="I232" s="51">
        <f t="shared" si="5"/>
        <v>-0.008219062576</v>
      </c>
    </row>
    <row r="233">
      <c r="A233" s="7">
        <v>43657.0</v>
      </c>
      <c r="B233" s="11">
        <v>125.3864</v>
      </c>
      <c r="C233" s="65">
        <f t="shared" si="3"/>
        <v>0.00647698859</v>
      </c>
      <c r="D233" s="42">
        <v>11662.6</v>
      </c>
      <c r="E233" s="40">
        <f t="shared" si="4"/>
        <v>0.006407296984</v>
      </c>
      <c r="F233" s="43">
        <v>6.331</v>
      </c>
      <c r="G233" s="49">
        <f t="shared" si="1"/>
        <v>0.06331</v>
      </c>
      <c r="H233" s="50">
        <f t="shared" si="2"/>
        <v>0.0001681968403</v>
      </c>
      <c r="I233" s="51">
        <f t="shared" si="5"/>
        <v>-0.01538025405</v>
      </c>
    </row>
    <row r="234">
      <c r="A234" s="7">
        <v>43658.0</v>
      </c>
      <c r="B234" s="11">
        <v>125.4792</v>
      </c>
      <c r="C234" s="65">
        <f t="shared" si="3"/>
        <v>0.0007401121653</v>
      </c>
      <c r="D234" s="42">
        <v>11687.5</v>
      </c>
      <c r="E234" s="40">
        <f t="shared" si="4"/>
        <v>0.002135029925</v>
      </c>
      <c r="F234" s="43">
        <v>6.345</v>
      </c>
      <c r="G234" s="49">
        <f t="shared" si="1"/>
        <v>0.06345</v>
      </c>
      <c r="H234" s="50">
        <f t="shared" si="2"/>
        <v>0.0001685576014</v>
      </c>
      <c r="I234" s="51">
        <f t="shared" si="5"/>
        <v>0.002144874916</v>
      </c>
    </row>
    <row r="235">
      <c r="A235" s="7">
        <v>43661.0</v>
      </c>
      <c r="B235" s="11">
        <v>125.9339</v>
      </c>
      <c r="C235" s="65">
        <f t="shared" si="3"/>
        <v>0.003623708152</v>
      </c>
      <c r="D235" s="42">
        <v>11596.9</v>
      </c>
      <c r="E235" s="40">
        <f t="shared" si="4"/>
        <v>-0.007751871658</v>
      </c>
      <c r="F235" s="43">
        <v>6.387</v>
      </c>
      <c r="G235" s="49">
        <f t="shared" si="1"/>
        <v>0.06387</v>
      </c>
      <c r="H235" s="50">
        <f t="shared" si="2"/>
        <v>0.0001696396009</v>
      </c>
      <c r="I235" s="51">
        <f t="shared" si="5"/>
        <v>0.006419167289</v>
      </c>
    </row>
    <row r="236">
      <c r="A236" s="7">
        <v>43662.0</v>
      </c>
      <c r="B236" s="11">
        <v>126.6793</v>
      </c>
      <c r="C236" s="65">
        <f t="shared" si="3"/>
        <v>0.005918978131</v>
      </c>
      <c r="D236" s="42">
        <v>11419.25</v>
      </c>
      <c r="E236" s="40">
        <f t="shared" si="4"/>
        <v>-0.01531874898</v>
      </c>
      <c r="F236" s="43">
        <v>6.361</v>
      </c>
      <c r="G236" s="49">
        <f t="shared" si="1"/>
        <v>0.06361</v>
      </c>
      <c r="H236" s="50">
        <f t="shared" si="2"/>
        <v>0.0001689698419</v>
      </c>
      <c r="I236" s="51">
        <f t="shared" si="5"/>
        <v>-0.003948128463</v>
      </c>
    </row>
    <row r="237">
      <c r="A237" s="7">
        <v>43663.0</v>
      </c>
      <c r="B237" s="11">
        <v>126.8672</v>
      </c>
      <c r="C237" s="65">
        <f t="shared" si="3"/>
        <v>0.001483273116</v>
      </c>
      <c r="D237" s="42">
        <v>11346.2</v>
      </c>
      <c r="E237" s="40">
        <f t="shared" si="4"/>
        <v>-0.006397092629</v>
      </c>
      <c r="F237" s="43">
        <v>6.418</v>
      </c>
      <c r="G237" s="49">
        <f t="shared" si="1"/>
        <v>0.06418</v>
      </c>
      <c r="H237" s="50">
        <f t="shared" si="2"/>
        <v>0.0001704379463</v>
      </c>
      <c r="I237" s="51">
        <f t="shared" si="5"/>
        <v>0.008688558532</v>
      </c>
    </row>
    <row r="238">
      <c r="A238" s="7">
        <v>43664.0</v>
      </c>
      <c r="B238" s="11">
        <v>125.7209</v>
      </c>
      <c r="C238" s="65">
        <f t="shared" si="3"/>
        <v>-0.009035432326</v>
      </c>
      <c r="D238" s="42">
        <v>11331.05</v>
      </c>
      <c r="E238" s="40">
        <f t="shared" si="4"/>
        <v>-0.001335248806</v>
      </c>
      <c r="F238" s="43">
        <v>6.464</v>
      </c>
      <c r="G238" s="49">
        <f t="shared" si="1"/>
        <v>0.06464</v>
      </c>
      <c r="H238" s="50">
        <f t="shared" si="2"/>
        <v>0.0001716221606</v>
      </c>
      <c r="I238" s="51">
        <f t="shared" si="5"/>
        <v>0.00694806714</v>
      </c>
    </row>
    <row r="239">
      <c r="A239" s="7">
        <v>43665.0</v>
      </c>
      <c r="B239" s="11">
        <v>123.9408</v>
      </c>
      <c r="C239" s="65">
        <f t="shared" si="3"/>
        <v>-0.0141591414</v>
      </c>
      <c r="D239" s="42">
        <v>11271.3</v>
      </c>
      <c r="E239" s="40">
        <f t="shared" si="4"/>
        <v>-0.005273121202</v>
      </c>
      <c r="F239" s="43">
        <v>6.438</v>
      </c>
      <c r="G239" s="49">
        <f t="shared" si="1"/>
        <v>0.06438</v>
      </c>
      <c r="H239" s="50">
        <f t="shared" si="2"/>
        <v>0.0001709528848</v>
      </c>
      <c r="I239" s="51">
        <f t="shared" si="5"/>
        <v>-0.003899705023</v>
      </c>
    </row>
    <row r="240">
      <c r="A240" s="7">
        <v>43668.0</v>
      </c>
      <c r="B240" s="11">
        <v>123.5785</v>
      </c>
      <c r="C240" s="65">
        <f t="shared" si="3"/>
        <v>-0.002923169771</v>
      </c>
      <c r="D240" s="42">
        <v>11252.15</v>
      </c>
      <c r="E240" s="40">
        <f t="shared" si="4"/>
        <v>-0.001699005439</v>
      </c>
      <c r="F240" s="43">
        <v>6.514</v>
      </c>
      <c r="G240" s="49">
        <f t="shared" si="1"/>
        <v>0.06514</v>
      </c>
      <c r="H240" s="50">
        <f t="shared" si="2"/>
        <v>0.0001729087714</v>
      </c>
      <c r="I240" s="51">
        <f t="shared" si="5"/>
        <v>0.01144108592</v>
      </c>
    </row>
    <row r="241">
      <c r="A241" s="7">
        <v>43669.0</v>
      </c>
      <c r="B241" s="11">
        <v>123.5353</v>
      </c>
      <c r="C241" s="65">
        <f t="shared" si="3"/>
        <v>-0.0003495753711</v>
      </c>
      <c r="D241" s="42">
        <v>11284.3</v>
      </c>
      <c r="E241" s="40">
        <f t="shared" si="4"/>
        <v>0.002857231729</v>
      </c>
      <c r="F241" s="43">
        <v>6.525</v>
      </c>
      <c r="G241" s="49">
        <f t="shared" si="1"/>
        <v>0.06525</v>
      </c>
      <c r="H241" s="50">
        <f t="shared" si="2"/>
        <v>0.000173191745</v>
      </c>
      <c r="I241" s="51">
        <f t="shared" si="5"/>
        <v>0.001636548291</v>
      </c>
    </row>
    <row r="242">
      <c r="A242" s="7">
        <v>43670.0</v>
      </c>
      <c r="B242" s="11">
        <v>122.8131</v>
      </c>
      <c r="C242" s="65">
        <f t="shared" si="3"/>
        <v>-0.005846102288</v>
      </c>
      <c r="D242" s="42">
        <v>11189.2</v>
      </c>
      <c r="E242" s="40">
        <f t="shared" si="4"/>
        <v>-0.0084276384</v>
      </c>
      <c r="F242" s="43">
        <v>6.412</v>
      </c>
      <c r="G242" s="49">
        <f t="shared" si="1"/>
        <v>0.06412</v>
      </c>
      <c r="H242" s="50">
        <f t="shared" si="2"/>
        <v>0.0001702834459</v>
      </c>
      <c r="I242" s="51">
        <f t="shared" si="5"/>
        <v>-0.01679236535</v>
      </c>
    </row>
    <row r="243">
      <c r="A243" s="7">
        <v>43671.0</v>
      </c>
      <c r="B243" s="11">
        <v>123.2933</v>
      </c>
      <c r="C243" s="65">
        <f t="shared" si="3"/>
        <v>0.003910006343</v>
      </c>
      <c r="D243" s="42">
        <v>11085.4</v>
      </c>
      <c r="E243" s="40">
        <f t="shared" si="4"/>
        <v>-0.009276802631</v>
      </c>
      <c r="F243" s="48">
        <v>6.387</v>
      </c>
      <c r="G243" s="49">
        <f t="shared" si="1"/>
        <v>0.06387</v>
      </c>
      <c r="H243" s="50">
        <f t="shared" si="2"/>
        <v>0.0001696396009</v>
      </c>
      <c r="I243" s="51">
        <f t="shared" si="5"/>
        <v>-0.003781019664</v>
      </c>
    </row>
    <row r="244">
      <c r="A244" s="7">
        <v>43672.0</v>
      </c>
      <c r="B244" s="11">
        <v>123.5258</v>
      </c>
      <c r="C244" s="65">
        <f t="shared" si="3"/>
        <v>0.001885747238</v>
      </c>
      <c r="D244" s="69">
        <v>11118.0</v>
      </c>
      <c r="E244" s="40">
        <f t="shared" si="4"/>
        <v>0.002940805023</v>
      </c>
      <c r="F244" s="43">
        <v>6.369</v>
      </c>
      <c r="G244" s="49">
        <f t="shared" si="1"/>
        <v>0.06369</v>
      </c>
      <c r="H244" s="50">
        <f t="shared" si="2"/>
        <v>0.000169175939</v>
      </c>
      <c r="I244" s="51">
        <f t="shared" si="5"/>
        <v>-0.002733217202</v>
      </c>
    </row>
    <row r="245">
      <c r="A245" s="7">
        <v>43678.0</v>
      </c>
      <c r="B245" s="11">
        <v>122.7952</v>
      </c>
      <c r="C245" s="65">
        <f t="shared" si="3"/>
        <v>-0.005914553883</v>
      </c>
      <c r="D245" s="70">
        <v>10980.0</v>
      </c>
      <c r="E245" s="71">
        <f t="shared" si="4"/>
        <v>-0.01241230437</v>
      </c>
      <c r="F245" s="72">
        <v>6.423</v>
      </c>
      <c r="G245" s="73">
        <f t="shared" si="1"/>
        <v>0.06423</v>
      </c>
      <c r="H245" s="74">
        <f t="shared" si="2"/>
        <v>0.00017056669</v>
      </c>
      <c r="I245" s="75">
        <f t="shared" si="5"/>
        <v>0.008220737412</v>
      </c>
    </row>
    <row r="246">
      <c r="A246" s="7"/>
      <c r="B246" s="11"/>
      <c r="D246" s="5"/>
      <c r="E246" s="5"/>
      <c r="F246" s="5"/>
      <c r="G246" s="5"/>
      <c r="H246" s="9"/>
      <c r="I246" s="10"/>
    </row>
    <row r="247">
      <c r="A247" s="7"/>
      <c r="B247" s="11"/>
      <c r="D247" s="5"/>
      <c r="E247" s="5"/>
      <c r="F247" s="5"/>
      <c r="G247" s="5"/>
      <c r="H247" s="9"/>
      <c r="I247" s="10"/>
    </row>
    <row r="248">
      <c r="A248" s="76" t="s">
        <v>35</v>
      </c>
      <c r="B248" s="11"/>
      <c r="C248" s="65">
        <f>AVERAGE(C5:C245)</f>
        <v>-0.00007728350821</v>
      </c>
      <c r="D248" s="5">
        <f t="shared" ref="D248:I248" si="6">AVERAGE(D4:D245)</f>
        <v>11179.21157</v>
      </c>
      <c r="E248" s="77">
        <f t="shared" si="6"/>
        <v>-0.00009807723871</v>
      </c>
      <c r="F248" s="5">
        <f t="shared" si="6"/>
        <v>7.458446281</v>
      </c>
      <c r="G248" s="5">
        <f t="shared" si="6"/>
        <v>0.07458446281</v>
      </c>
      <c r="H248" s="5">
        <f t="shared" si="6"/>
        <v>0.000197076328</v>
      </c>
      <c r="I248" s="77">
        <f t="shared" si="6"/>
        <v>-0.0007069170763</v>
      </c>
    </row>
    <row r="249">
      <c r="A249" s="76" t="s">
        <v>36</v>
      </c>
      <c r="C249" s="65">
        <f>STDEV(C5:C245)</f>
        <v>0.008091169248</v>
      </c>
      <c r="D249" s="5">
        <f t="shared" ref="D249:I249" si="7">STDEV(D4:D245)</f>
        <v>485.5886639</v>
      </c>
      <c r="E249" s="5">
        <f t="shared" si="7"/>
        <v>0.008743152214</v>
      </c>
      <c r="F249" s="5">
        <f t="shared" si="7"/>
        <v>0.4380210202</v>
      </c>
      <c r="G249" s="5">
        <f t="shared" si="7"/>
        <v>0.004380210202</v>
      </c>
      <c r="H249" s="5">
        <f t="shared" si="7"/>
        <v>0.00001118755215</v>
      </c>
      <c r="I249" s="5">
        <f t="shared" si="7"/>
        <v>0.006459345241</v>
      </c>
    </row>
    <row r="250">
      <c r="A250" s="76" t="s">
        <v>37</v>
      </c>
      <c r="C250" s="65">
        <f>INTERCEPT(C5:C245,E5:E245)</f>
        <v>-0.00004293973128</v>
      </c>
      <c r="D250" s="78"/>
      <c r="E250" s="5"/>
      <c r="F250" s="5"/>
      <c r="G250" s="5"/>
      <c r="H250" s="9"/>
      <c r="I250" s="10"/>
    </row>
    <row r="251">
      <c r="A251" s="76" t="s">
        <v>38</v>
      </c>
      <c r="C251" s="65">
        <f>SLOPE(C5:C245,E5:E245)</f>
        <v>0.3501707163</v>
      </c>
      <c r="D251" s="78"/>
      <c r="E251" s="5"/>
      <c r="F251" s="5"/>
      <c r="G251" s="5"/>
      <c r="H251" s="9"/>
      <c r="I251" s="10"/>
    </row>
    <row r="252">
      <c r="D252" s="78"/>
      <c r="E252" s="5"/>
      <c r="F252" s="5"/>
      <c r="G252" s="5"/>
      <c r="H252" s="9"/>
      <c r="I252" s="10"/>
    </row>
    <row r="253">
      <c r="D253" s="78"/>
      <c r="E253" s="5"/>
      <c r="F253" s="5"/>
      <c r="G253" s="5"/>
      <c r="H253" s="9"/>
      <c r="I253" s="10"/>
    </row>
    <row r="254">
      <c r="D254" s="78"/>
      <c r="E254" s="5"/>
      <c r="F254" s="5"/>
      <c r="G254" s="5"/>
      <c r="H254" s="9"/>
      <c r="I254" s="10"/>
    </row>
    <row r="255">
      <c r="A255" s="103"/>
      <c r="B255" s="80" t="s">
        <v>63</v>
      </c>
      <c r="C255" s="80" t="s">
        <v>64</v>
      </c>
      <c r="D255" s="78"/>
      <c r="E255" s="5"/>
      <c r="F255" s="5"/>
      <c r="G255" s="5"/>
      <c r="H255" s="9"/>
      <c r="I255" s="10"/>
    </row>
    <row r="256">
      <c r="A256" s="81" t="s">
        <v>41</v>
      </c>
      <c r="B256" s="82">
        <f>C248-(I248+C251*(E248-I248))</f>
        <v>0.000416435686</v>
      </c>
      <c r="C256" s="83">
        <v>0.0</v>
      </c>
      <c r="D256" s="78"/>
      <c r="E256" s="76"/>
      <c r="F256" s="5"/>
      <c r="G256" s="5"/>
      <c r="H256" s="9"/>
      <c r="I256" s="10"/>
    </row>
    <row r="257">
      <c r="A257" s="81" t="s">
        <v>42</v>
      </c>
      <c r="B257" s="82">
        <f>(C248-I248)/C251</f>
        <v>0.00179807602</v>
      </c>
      <c r="C257" s="82">
        <f>(E248-I248)/E249</f>
        <v>0.06963619329</v>
      </c>
      <c r="D257" s="78"/>
      <c r="E257" s="76"/>
      <c r="F257" s="5"/>
      <c r="G257" s="5"/>
      <c r="H257" s="9"/>
      <c r="I257" s="10"/>
    </row>
    <row r="258">
      <c r="A258" s="81" t="s">
        <v>43</v>
      </c>
      <c r="B258" s="82">
        <f>(C248-I248)/C249</f>
        <v>0.07781737704</v>
      </c>
      <c r="C258" s="82">
        <f>(E248-I248)</f>
        <v>0.0006088398376</v>
      </c>
      <c r="D258" s="78"/>
      <c r="E258" s="76"/>
      <c r="F258" s="5"/>
      <c r="G258" s="5"/>
      <c r="H258" s="9"/>
      <c r="I258" s="10"/>
    </row>
    <row r="259">
      <c r="A259" s="81" t="s">
        <v>44</v>
      </c>
      <c r="B259" s="82">
        <f>E249*(B258-C258)</f>
        <v>0.000675045993</v>
      </c>
      <c r="C259" s="83">
        <v>0.0</v>
      </c>
      <c r="D259" s="78"/>
      <c r="E259" s="76"/>
      <c r="F259" s="5"/>
      <c r="G259" s="5"/>
      <c r="H259" s="9"/>
      <c r="I259" s="10"/>
    </row>
    <row r="260">
      <c r="A260" s="5"/>
      <c r="D260" s="78"/>
      <c r="E260" s="5"/>
      <c r="F260" s="5"/>
      <c r="G260" s="5"/>
      <c r="H260" s="9"/>
      <c r="I260" s="10"/>
    </row>
    <row r="261">
      <c r="D261" s="78"/>
      <c r="E261" s="5"/>
      <c r="F261" s="5"/>
      <c r="G261" s="5"/>
      <c r="H261" s="9"/>
      <c r="I261" s="10"/>
    </row>
    <row r="262">
      <c r="D262" s="78"/>
      <c r="E262" s="5"/>
      <c r="F262" s="5"/>
      <c r="G262" s="5"/>
      <c r="H262" s="9"/>
      <c r="I262" s="10"/>
    </row>
    <row r="263">
      <c r="D263" s="78"/>
      <c r="E263" s="5"/>
      <c r="F263" s="5"/>
      <c r="G263" s="5"/>
      <c r="H263" s="9"/>
      <c r="I263" s="10"/>
    </row>
    <row r="264">
      <c r="D264" s="78"/>
      <c r="E264" s="5"/>
      <c r="F264" s="5"/>
      <c r="G264" s="5"/>
      <c r="H264" s="9"/>
      <c r="I264" s="10"/>
    </row>
    <row r="265">
      <c r="D265" s="78"/>
      <c r="E265" s="5"/>
      <c r="F265" s="5"/>
      <c r="G265" s="5"/>
      <c r="H265" s="9"/>
      <c r="I265" s="10"/>
    </row>
    <row r="266">
      <c r="D266" s="78"/>
      <c r="E266" s="5"/>
      <c r="F266" s="5"/>
      <c r="G266" s="5"/>
      <c r="H266" s="9"/>
      <c r="I266" s="10"/>
    </row>
    <row r="267">
      <c r="D267" s="78"/>
      <c r="E267" s="5"/>
      <c r="F267" s="5"/>
      <c r="G267" s="5"/>
      <c r="H267" s="9"/>
      <c r="I267" s="10"/>
    </row>
    <row r="268">
      <c r="D268" s="78"/>
      <c r="E268" s="5"/>
      <c r="F268" s="5"/>
      <c r="G268" s="5"/>
      <c r="H268" s="9"/>
      <c r="I268" s="10"/>
    </row>
    <row r="269">
      <c r="D269" s="78"/>
      <c r="E269" s="5"/>
      <c r="F269" s="5"/>
      <c r="G269" s="5"/>
      <c r="H269" s="9"/>
      <c r="I269" s="10"/>
    </row>
    <row r="270">
      <c r="D270" s="78"/>
      <c r="E270" s="5"/>
      <c r="F270" s="5"/>
      <c r="G270" s="5"/>
      <c r="H270" s="9"/>
      <c r="I270" s="10"/>
    </row>
    <row r="271">
      <c r="D271" s="78"/>
      <c r="E271" s="5"/>
      <c r="F271" s="5"/>
      <c r="G271" s="5"/>
      <c r="H271" s="9"/>
      <c r="I271" s="10"/>
    </row>
    <row r="272">
      <c r="D272" s="78"/>
      <c r="E272" s="5"/>
      <c r="F272" s="5"/>
      <c r="G272" s="5"/>
      <c r="H272" s="9"/>
      <c r="I272" s="10"/>
    </row>
    <row r="273">
      <c r="D273" s="78"/>
      <c r="E273" s="5"/>
      <c r="F273" s="5"/>
      <c r="G273" s="5"/>
      <c r="H273" s="9"/>
      <c r="I273" s="10"/>
    </row>
    <row r="274">
      <c r="D274" s="78"/>
      <c r="E274" s="5"/>
      <c r="F274" s="5"/>
      <c r="G274" s="5"/>
      <c r="H274" s="9"/>
      <c r="I274" s="10"/>
    </row>
    <row r="275">
      <c r="D275" s="78"/>
      <c r="E275" s="5"/>
      <c r="F275" s="5"/>
      <c r="G275" s="5"/>
      <c r="H275" s="9"/>
      <c r="I275" s="10"/>
    </row>
    <row r="276">
      <c r="D276" s="78"/>
      <c r="E276" s="5"/>
      <c r="F276" s="5"/>
      <c r="G276" s="5"/>
      <c r="H276" s="9"/>
      <c r="I276" s="10"/>
    </row>
    <row r="277">
      <c r="D277" s="78"/>
      <c r="E277" s="5"/>
      <c r="F277" s="5"/>
      <c r="G277" s="5"/>
      <c r="H277" s="9"/>
      <c r="I277" s="10"/>
    </row>
    <row r="278">
      <c r="D278" s="78"/>
      <c r="E278" s="5"/>
      <c r="F278" s="5"/>
      <c r="G278" s="5"/>
      <c r="H278" s="9"/>
      <c r="I278" s="10"/>
    </row>
    <row r="279">
      <c r="D279" s="78"/>
      <c r="E279" s="5"/>
      <c r="F279" s="5"/>
      <c r="G279" s="5"/>
      <c r="H279" s="9"/>
      <c r="I279" s="10"/>
    </row>
    <row r="280">
      <c r="D280" s="78"/>
      <c r="E280" s="5"/>
      <c r="F280" s="5"/>
      <c r="G280" s="5"/>
      <c r="H280" s="9"/>
      <c r="I280" s="10"/>
    </row>
    <row r="281">
      <c r="D281" s="78"/>
      <c r="E281" s="5"/>
      <c r="F281" s="5"/>
      <c r="G281" s="5"/>
      <c r="H281" s="9"/>
      <c r="I281" s="10"/>
    </row>
    <row r="282">
      <c r="D282" s="78"/>
      <c r="E282" s="5"/>
      <c r="F282" s="5"/>
      <c r="G282" s="5"/>
      <c r="H282" s="9"/>
      <c r="I282" s="10"/>
    </row>
    <row r="283">
      <c r="D283" s="78"/>
      <c r="E283" s="5"/>
      <c r="F283" s="5"/>
      <c r="G283" s="5"/>
      <c r="H283" s="9"/>
      <c r="I283" s="10"/>
    </row>
    <row r="284">
      <c r="D284" s="78"/>
      <c r="E284" s="5"/>
      <c r="F284" s="5"/>
      <c r="G284" s="5"/>
      <c r="H284" s="9"/>
      <c r="I284" s="10"/>
    </row>
    <row r="285">
      <c r="D285" s="78"/>
      <c r="E285" s="5"/>
      <c r="F285" s="5"/>
      <c r="G285" s="5"/>
      <c r="H285" s="9"/>
      <c r="I285" s="10"/>
    </row>
    <row r="286">
      <c r="D286" s="78"/>
      <c r="E286" s="5"/>
      <c r="F286" s="5"/>
      <c r="G286" s="5"/>
      <c r="H286" s="9"/>
      <c r="I286" s="10"/>
    </row>
    <row r="287">
      <c r="D287" s="78"/>
      <c r="E287" s="5"/>
      <c r="F287" s="5"/>
      <c r="G287" s="5"/>
      <c r="H287" s="9"/>
      <c r="I287" s="10"/>
    </row>
    <row r="288">
      <c r="D288" s="78"/>
      <c r="E288" s="5"/>
      <c r="F288" s="5"/>
      <c r="G288" s="5"/>
      <c r="H288" s="9"/>
      <c r="I288" s="10"/>
    </row>
    <row r="289">
      <c r="D289" s="78"/>
      <c r="E289" s="5"/>
      <c r="F289" s="5"/>
      <c r="G289" s="5"/>
      <c r="H289" s="9"/>
      <c r="I289" s="10"/>
    </row>
    <row r="290">
      <c r="D290" s="78"/>
      <c r="E290" s="5"/>
      <c r="F290" s="5"/>
      <c r="G290" s="5"/>
      <c r="H290" s="9"/>
      <c r="I290" s="10"/>
    </row>
  </sheetData>
  <drawing r:id="rId1"/>
</worksheet>
</file>